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eiaedu-my.sharepoint.com/personal/pablo_tilano_eia_edu_co/Documents/Semillero Coheteria/Competencia Octubre 2026/Componentes/"/>
    </mc:Choice>
  </mc:AlternateContent>
  <xr:revisionPtr revIDLastSave="153" documentId="8_{27BA64BF-343C-4CC5-A2DA-713DAC470CDB}" xr6:coauthVersionLast="47" xr6:coauthVersionMax="47" xr10:uidLastSave="{B78F8132-BCE9-4B02-8597-138BC0D33DE3}"/>
  <bookViews>
    <workbookView xWindow="-98" yWindow="-98" windowWidth="22695" windowHeight="15196" firstSheet="8" activeTab="8" xr2:uid="{00000000-000D-0000-FFFF-FFFF00000000}"/>
  </bookViews>
  <sheets>
    <sheet name="SENSORES" sheetId="1" r:id="rId1"/>
    <sheet name="GNSS" sheetId="3" r:id="rId2"/>
    <sheet name="LORA" sheetId="4" r:id="rId3"/>
    <sheet name="ALIMENTACION" sheetId="5" r:id="rId4"/>
    <sheet name="COMPUTO" sheetId="6" r:id="rId5"/>
    <sheet name="CAMARAS" sheetId="7" r:id="rId6"/>
    <sheet name="GLOSARIO_FUNCIONES" sheetId="8" r:id="rId7"/>
    <sheet name="VARIABLES_NAVEGACION" sheetId="9" r:id="rId8"/>
    <sheet name="CONTRIBUCIÓN_SENSORES" sheetId="10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5" l="1"/>
</calcChain>
</file>

<file path=xl/sharedStrings.xml><?xml version="1.0" encoding="utf-8"?>
<sst xmlns="http://schemas.openxmlformats.org/spreadsheetml/2006/main" count="826" uniqueCount="567">
  <si>
    <t>Ubicación</t>
  </si>
  <si>
    <t>Dispositivo</t>
  </si>
  <si>
    <t>Componente</t>
  </si>
  <si>
    <t>Subsensor</t>
  </si>
  <si>
    <t>Resolucion ADC</t>
  </si>
  <si>
    <t>Rango</t>
  </si>
  <si>
    <t>Precision Equivalente Dinamica</t>
  </si>
  <si>
    <t>Ruido Nativo</t>
  </si>
  <si>
    <t>ODR Max Real</t>
  </si>
  <si>
    <t>Interfaz</t>
  </si>
  <si>
    <t>Consumo Max (mA)</t>
  </si>
  <si>
    <t>FIFO</t>
  </si>
  <si>
    <t>Funciones Adicionales</t>
  </si>
  <si>
    <t>CANSATs</t>
  </si>
  <si>
    <t>Lilygo T-BEAM SUPREME</t>
  </si>
  <si>
    <t>QMI8658</t>
  </si>
  <si>
    <t>Acelerometro</t>
  </si>
  <si>
    <t>16 bits</t>
  </si>
  <si>
    <t>±2g a ±16g</t>
  </si>
  <si>
    <t>0.01 g</t>
  </si>
  <si>
    <t>200 ug/√Hz</t>
  </si>
  <si>
    <t>8 kHz</t>
  </si>
  <si>
    <t>I2C</t>
  </si>
  <si>
    <t>0.95</t>
  </si>
  <si>
    <t>128 muestras</t>
  </si>
  <si>
    <t>Motion Co-Processor, Sensor Fusion, WoM, Timestamp, Temp</t>
  </si>
  <si>
    <t>Giroscopio</t>
  </si>
  <si>
    <t>±16 a ±2048 °/s</t>
  </si>
  <si>
    <t>0.01 °/s</t>
  </si>
  <si>
    <t>15 mdps/√Hz</t>
  </si>
  <si>
    <t>Motion Co-Processor, Sensor Fusion, Auto-Cal</t>
  </si>
  <si>
    <t>QMC6310</t>
  </si>
  <si>
    <t>Magnetometro</t>
  </si>
  <si>
    <t>±30 G</t>
  </si>
  <si>
    <t>2-5°</t>
  </si>
  <si>
    <t>2 mG RMS</t>
  </si>
  <si>
    <t>1500 Hz</t>
  </si>
  <si>
    <t>0.8</t>
  </si>
  <si>
    <t>No</t>
  </si>
  <si>
    <t>Self-Test, Temperature Compensation, Offset Calibration,
Interrupts, Continuous Mode</t>
  </si>
  <si>
    <t>BME280</t>
  </si>
  <si>
    <t>Barometro</t>
  </si>
  <si>
    <t>20 bits</t>
  </si>
  <si>
    <t>300-1100 hPa</t>
  </si>
  <si>
    <t>±1 m</t>
  </si>
  <si>
    <t>0.2 Pa RMS</t>
  </si>
  <si>
    <t>157 Hz</t>
  </si>
  <si>
    <t>1.8</t>
  </si>
  <si>
    <t>IIR Filter, Oversampling, Forced Mode,
Normal Mode, Compensation Calibration</t>
  </si>
  <si>
    <t>Termometro</t>
  </si>
  <si>
    <t>-40 a 85 °C</t>
  </si>
  <si>
    <t>0.01 °C</t>
  </si>
  <si>
    <t>Compensation Calibration, Oversampling,
Forced Mode, Normal Mode</t>
  </si>
  <si>
    <t>Higrometro</t>
  </si>
  <si>
    <t>0-100 %RH</t>
  </si>
  <si>
    <t>0.008 %RH</t>
  </si>
  <si>
    <t>0.02 %RH RMS</t>
  </si>
  <si>
    <t>Adafruit P6407</t>
  </si>
  <si>
    <t>BMP581</t>
  </si>
  <si>
    <t>24 bits</t>
  </si>
  <si>
    <t>30-125 kPa</t>
  </si>
  <si>
    <t>±3.3 cm</t>
  </si>
  <si>
    <t>0.08 Pa RMS</t>
  </si>
  <si>
    <t>480 Hz</t>
  </si>
  <si>
    <t>I2C/SPI</t>
  </si>
  <si>
    <t>1.3</t>
  </si>
  <si>
    <t>32 muestras</t>
  </si>
  <si>
    <t>IIR Filter, FIFO, Interrupts, Pressure Change Detect,
Low Power Mode, Normal Mode, Deep Standby,
NVM Calibration, I3C, Timestamp</t>
  </si>
  <si>
    <t>FIFO, Interrupts, Low Power Mode,
NVM Calibration, I3C, Timestamp</t>
  </si>
  <si>
    <t>Generico</t>
  </si>
  <si>
    <t>MMC5983MA</t>
  </si>
  <si>
    <t>18 bits</t>
  </si>
  <si>
    <t>±8 G</t>
  </si>
  <si>
    <t>&lt;1°</t>
  </si>
  <si>
    <t>0.4 mG RMS</t>
  </si>
  <si>
    <t>1000 Hz</t>
  </si>
  <si>
    <t>Auto Set/Reset, Degaussing, Self-Test,
Temperature Compensation, Continuous Mode,
Interrupts, High Precision Mode</t>
  </si>
  <si>
    <t>Adafruit P4692</t>
  </si>
  <si>
    <t>LSM6DSO32</t>
  </si>
  <si>
    <t>±4g a ±32g</t>
  </si>
  <si>
    <t>0.008 g</t>
  </si>
  <si>
    <t>160 μg/√Hz</t>
  </si>
  <si>
    <t>6.66 kHz</t>
  </si>
  <si>
    <t>0.55</t>
  </si>
  <si>
    <t>768 muestras</t>
  </si>
  <si>
    <t>WoM, Timestamp, Temp, FSM, MLC, Sensor Hub, FIFO Compression, I3C, 6D/4D Orientation, Free Fall, Wake-Up, Activity Detection</t>
  </si>
  <si>
    <t>±125 a ±2000 °/s</t>
  </si>
  <si>
    <t>0.005 °/s</t>
  </si>
  <si>
    <t>3.8 mdps/√Hz</t>
  </si>
  <si>
    <t>Timestamp, FSM, MLC, Sensor Hub, FIFO Compression, I3C, Programmable Interrupts</t>
  </si>
  <si>
    <t>Constelaciones</t>
  </si>
  <si>
    <t>Bandas</t>
  </si>
  <si>
    <t>Sens. Seguimiento</t>
  </si>
  <si>
    <t>Sens. Adquisicion</t>
  </si>
  <si>
    <t>Precision Horizontal</t>
  </si>
  <si>
    <t>Precision Vertical</t>
  </si>
  <si>
    <t>Tasa Max</t>
  </si>
  <si>
    <t>TTFF Frio</t>
  </si>
  <si>
    <t>TTFF Caliente</t>
  </si>
  <si>
    <t>Velocidad Max</t>
  </si>
  <si>
    <t>Altitud Max</t>
  </si>
  <si>
    <t>RTK</t>
  </si>
  <si>
    <t>Memoria/Logging</t>
  </si>
  <si>
    <t>MAX-M10S</t>
  </si>
  <si>
    <t>GPS, Galileo, GLONASS, BeiDou, QZSS, SBAS</t>
  </si>
  <si>
    <t>L1C/A,E1,L1OF,B1I,B1C</t>
  </si>
  <si>
    <t>-167 dBm</t>
  </si>
  <si>
    <t>-148 dBm</t>
  </si>
  <si>
    <t>1.5 m CEP</t>
  </si>
  <si>
    <t>2.5 -3 m</t>
  </si>
  <si>
    <t>25 Hz</t>
  </si>
  <si>
    <t>23-28 s</t>
  </si>
  <si>
    <t>1 s</t>
  </si>
  <si>
    <t>SPI</t>
  </si>
  <si>
    <t>500 m/s</t>
  </si>
  <si>
    <t>80 km</t>
  </si>
  <si>
    <t>RAM batching hasta 10 min</t>
  </si>
  <si>
    <t>A-GNSS, Anti-Jamming, Anti-Spoofing, Odometer, Geofencing, SBAS, Snapshot Mode, Power Save, Batching, Integrity Monitoring</t>
  </si>
  <si>
    <t>Estación</t>
  </si>
  <si>
    <t>Lilygo T-BEAM V1.2</t>
  </si>
  <si>
    <t>NEO-M8N</t>
  </si>
  <si>
    <t>L1C/A,E1,L1OF,B1I</t>
  </si>
  <si>
    <t>2.0 m CEP (SBAS)</t>
  </si>
  <si>
    <t>3 - 5 m</t>
  </si>
  <si>
    <t>18 Hz</t>
  </si>
  <si>
    <t>26 s</t>
  </si>
  <si>
    <t>50 km</t>
  </si>
  <si>
    <t>Flash SQI ≥16 Mbit con data logging</t>
  </si>
  <si>
    <t>D-GNSS, RTCM, Geofencing, Spoofing Detection, Odometer, SBAS, ADR Support, Power Save</t>
  </si>
  <si>
    <t>Tipo</t>
  </si>
  <si>
    <t>Polarizacion</t>
  </si>
  <si>
    <t>Cobertura</t>
  </si>
  <si>
    <t>Impedancia</t>
  </si>
  <si>
    <t>ROE</t>
  </si>
  <si>
    <t>Figura de Ruido</t>
  </si>
  <si>
    <t>Cohetes</t>
  </si>
  <si>
    <t>Antena GNSS</t>
  </si>
  <si>
    <t>TAN1216Q50A</t>
  </si>
  <si>
    <t>Antena GNSS Quadrifilar Helix Activa</t>
  </si>
  <si>
    <t>L1, L2, L5, G1, G2, B1, B2a, B2b, B3, E1, E5a, E5b, E6, L-Band</t>
  </si>
  <si>
    <t>RHCP</t>
  </si>
  <si>
    <t>360º</t>
  </si>
  <si>
    <t>50 Ω</t>
  </si>
  <si>
    <t>≤ 2:1</t>
  </si>
  <si>
    <t>1.5 dB</t>
  </si>
  <si>
    <t>Multibanda, RHCP, LNA Integrado, Low Noise Figure, 360° Coverage, SMA Bias-Tee, IP67,  Wide-Angle Reception, Low Elevation Tracking</t>
  </si>
  <si>
    <t>Ceramica Activa</t>
  </si>
  <si>
    <t>Antena GNSS Patch Cerámica Activa</t>
  </si>
  <si>
    <t>L1</t>
  </si>
  <si>
    <t>Hemi-Superior</t>
  </si>
  <si>
    <t>&lt; 2 dB</t>
  </si>
  <si>
    <t>RHCP, Active LNA, Low Noise Figure, GPS/Galileo/GLONASS/BeiDou, Wide Sky Coverage, Bias-T Powered</t>
  </si>
  <si>
    <t>Banda</t>
  </si>
  <si>
    <t>Potencia TX</t>
  </si>
  <si>
    <t>Sensibilidad RX</t>
  </si>
  <si>
    <t>Link Budget</t>
  </si>
  <si>
    <t>BW</t>
  </si>
  <si>
    <t>SF</t>
  </si>
  <si>
    <t>CR</t>
  </si>
  <si>
    <t>Consumo TX Max</t>
  </si>
  <si>
    <t>CANSATs y Estación</t>
  </si>
  <si>
    <t>Lilygo T-BEAM SUPREME y T-BEAM V1.2</t>
  </si>
  <si>
    <t>SX1262</t>
  </si>
  <si>
    <t>Transceptor LoRa</t>
  </si>
  <si>
    <t>150-960 MHz (+902-928 MHz CO)</t>
  </si>
  <si>
    <t>+22 dBm</t>
  </si>
  <si>
    <t>170 dB</t>
  </si>
  <si>
    <t>7.8-500 kHz</t>
  </si>
  <si>
    <t>SF5-SF12</t>
  </si>
  <si>
    <t>4/5-4/8</t>
  </si>
  <si>
    <t>62.5 kbps LoRa</t>
  </si>
  <si>
    <t>120 mA</t>
  </si>
  <si>
    <t>256 bytes</t>
  </si>
  <si>
    <t>CAD, CRC, IRQ, LoRa/GFSK, Sleep 160 nA, TCXO Control, Duty Cycling, Frequency Hopping, Packet Engine</t>
  </si>
  <si>
    <t>Ganancia</t>
  </si>
  <si>
    <t>VSWR</t>
  </si>
  <si>
    <t>Potencia Max</t>
  </si>
  <si>
    <t>Conector</t>
  </si>
  <si>
    <t>TX915-BLG-40</t>
  </si>
  <si>
    <t>Antena LoRa Omnidireccional Exterior</t>
  </si>
  <si>
    <t>880-955 MHz</t>
  </si>
  <si>
    <t>5.5 dBi</t>
  </si>
  <si>
    <t>Vertical</t>
  </si>
  <si>
    <t>&lt;=1.5</t>
  </si>
  <si>
    <t>50 Ohm</t>
  </si>
  <si>
    <t>50 W</t>
  </si>
  <si>
    <t>N-Male</t>
  </si>
  <si>
    <t>360°</t>
  </si>
  <si>
    <t>Omnidirectional, Outdoor, IP67, High Power, Low VSWR</t>
  </si>
  <si>
    <t>TX915-FPC-8521</t>
  </si>
  <si>
    <t>Antena LoRa FPC Interna</t>
  </si>
  <si>
    <t>860-940 MHz</t>
  </si>
  <si>
    <t>4 dBi</t>
  </si>
  <si>
    <t>2 W</t>
  </si>
  <si>
    <t>IPEX-1</t>
  </si>
  <si>
    <t>Omnidirectional, Flexible PCB, Internal Mount, Ultra-Light, Low VSWR</t>
  </si>
  <si>
    <t>Quimica</t>
  </si>
  <si>
    <t>Celdas</t>
  </si>
  <si>
    <t>Voltaje Nominal</t>
  </si>
  <si>
    <t>Voltaje Operacion</t>
  </si>
  <si>
    <t>Capacidad</t>
  </si>
  <si>
    <t>Corriente Carga Max</t>
  </si>
  <si>
    <t>Corriente Descarga/Sistema Max</t>
  </si>
  <si>
    <t>Fuel Gauge</t>
  </si>
  <si>
    <t>ADC</t>
  </si>
  <si>
    <t>Protecciones</t>
  </si>
  <si>
    <t>AXP2101</t>
  </si>
  <si>
    <t>PMIC</t>
  </si>
  <si>
    <t>1S</t>
  </si>
  <si>
    <t>3.9-5.5 V IN</t>
  </si>
  <si>
    <t>N/A</t>
  </si>
  <si>
    <t>1.5A</t>
  </si>
  <si>
    <t>2A</t>
  </si>
  <si>
    <t>E-Gauge 3.0</t>
  </si>
  <si>
    <t>14 bits</t>
  </si>
  <si>
    <t>I2C (TWSI), RSB</t>
  </si>
  <si>
    <t>OVP, UVP, OCP, OTP</t>
  </si>
  <si>
    <t>Fuel Gauge, Charger, ADC 14-bit, Watchdog, Backup Battery, Battery Temp Monitor, Sleep/Wakeup, IRQ</t>
  </si>
  <si>
    <t>DEMETER</t>
  </si>
  <si>
    <t>Rasberry Pi 5</t>
  </si>
  <si>
    <t>X1200 UPS HAT</t>
  </si>
  <si>
    <t>UPS Raspberry Pi</t>
  </si>
  <si>
    <t>2 x 18650</t>
  </si>
  <si>
    <t>7.4 V Pack</t>
  </si>
  <si>
    <t>USB-C 5V IN</t>
  </si>
  <si>
    <t>UPS integrada</t>
  </si>
  <si>
    <t>5A</t>
  </si>
  <si>
    <t>Proteccion UPS</t>
  </si>
  <si>
    <t>UPS, Hot Backup, Power Path Management, Dual 18650, Continuous Operation</t>
  </si>
  <si>
    <t>Varios</t>
  </si>
  <si>
    <t>MOLICEL INR-18650-P30B</t>
  </si>
  <si>
    <t>Li-Ion</t>
  </si>
  <si>
    <t>3.6 V</t>
  </si>
  <si>
    <t>2.5-4.2 V</t>
  </si>
  <si>
    <t>9A</t>
  </si>
  <si>
    <t>30A</t>
  </si>
  <si>
    <t>Buena densidad energetic, Recargabke, Alta corriente de carga y descarga</t>
  </si>
  <si>
    <t>Procesador</t>
  </si>
  <si>
    <t>Arquitectura</t>
  </si>
  <si>
    <t>Nucleos</t>
  </si>
  <si>
    <t>Frecuencia CPU</t>
  </si>
  <si>
    <t>RAM</t>
  </si>
  <si>
    <t>PSRAM</t>
  </si>
  <si>
    <t>Flash</t>
  </si>
  <si>
    <t>GPU</t>
  </si>
  <si>
    <t>Frecuencia GPU</t>
  </si>
  <si>
    <t>Consumo Tipico</t>
  </si>
  <si>
    <t>Consumo Max</t>
  </si>
  <si>
    <t>MIPI CSI</t>
  </si>
  <si>
    <t>MIPI DSI</t>
  </si>
  <si>
    <t>PCIe</t>
  </si>
  <si>
    <t>USB</t>
  </si>
  <si>
    <t>UART</t>
  </si>
  <si>
    <t>GPIO</t>
  </si>
  <si>
    <t>Almacenamiento</t>
  </si>
  <si>
    <t>Lilygo T-Beam Supreme</t>
  </si>
  <si>
    <t>ESP32-S3FN8</t>
  </si>
  <si>
    <t>Xtensa LX7 32-bit</t>
  </si>
  <si>
    <t>2</t>
  </si>
  <si>
    <t>240 MHz</t>
  </si>
  <si>
    <t>512 KB SRAM</t>
  </si>
  <si>
    <t>8 MB</t>
  </si>
  <si>
    <t>80-150 mA</t>
  </si>
  <si>
    <t>700 mA</t>
  </si>
  <si>
    <t>USB 2.0 OTG</t>
  </si>
  <si>
    <t>3</t>
  </si>
  <si>
    <t>4</t>
  </si>
  <si>
    <t>microSD 8 Mbps SPI 40 MHz</t>
  </si>
  <si>
    <t>WiFi, BLE5, USB OTG, Secure Boot</t>
  </si>
  <si>
    <t>Lilygo T-Beam V1.2</t>
  </si>
  <si>
    <t>ESP32-D0WDQ6</t>
  </si>
  <si>
    <t>Xtensa LX6 32-bit</t>
  </si>
  <si>
    <t>520 KB SRAM</t>
  </si>
  <si>
    <t>4 MB</t>
  </si>
  <si>
    <t>80-260 mA</t>
  </si>
  <si>
    <t>500 mA</t>
  </si>
  <si>
    <t>WiFi, BLE, Hardware Crypto</t>
  </si>
  <si>
    <t>Raspberry Pi 5</t>
  </si>
  <si>
    <t>BCM2712</t>
  </si>
  <si>
    <t>ARMv8-A 64-bit</t>
  </si>
  <si>
    <t>2.4 GHz</t>
  </si>
  <si>
    <t>4 GB LPDDR4X</t>
  </si>
  <si>
    <t>EEPROM boot</t>
  </si>
  <si>
    <t>VideoCore VII</t>
  </si>
  <si>
    <t>800 MHz</t>
  </si>
  <si>
    <t>15 W</t>
  </si>
  <si>
    <t>27 W</t>
  </si>
  <si>
    <t>2x 4-lane</t>
  </si>
  <si>
    <t>PCIe 2.0 x1</t>
  </si>
  <si>
    <t>2x USB3 + 2x USB2</t>
  </si>
  <si>
    <t>Si</t>
  </si>
  <si>
    <t>microSD S 90Mbps</t>
  </si>
  <si>
    <t>WiFi, BLE5, OpenGL ES 3.1,Vulkan 1.2</t>
  </si>
  <si>
    <t>Camara</t>
  </si>
  <si>
    <t>Sensor</t>
  </si>
  <si>
    <t>Resolucion</t>
  </si>
  <si>
    <t>Carriles MIPI</t>
  </si>
  <si>
    <t>Autofocus</t>
  </si>
  <si>
    <t>HDR</t>
  </si>
  <si>
    <t>Video</t>
  </si>
  <si>
    <t>Captura Alta Velocidad</t>
  </si>
  <si>
    <t>Raspberry Pi Camera Module 3</t>
  </si>
  <si>
    <t>Sony IMX708</t>
  </si>
  <si>
    <t>11.9 MP</t>
  </si>
  <si>
    <t>MIPI CSI-2</t>
  </si>
  <si>
    <t>2304×1296 @ 56 fps</t>
  </si>
  <si>
    <t>1536×864 @ 120 fps</t>
  </si>
  <si>
    <t>200-250 mA</t>
  </si>
  <si>
    <t>300 mA</t>
  </si>
  <si>
    <t>HDR,Autofocus,ISP</t>
  </si>
  <si>
    <t>Categoría</t>
  </si>
  <si>
    <t>Función</t>
  </si>
  <si>
    <t>Qué es</t>
  </si>
  <si>
    <t>Beneficio</t>
  </si>
  <si>
    <t>Aplicación típica</t>
  </si>
  <si>
    <t>Papel en el CANSAT</t>
  </si>
  <si>
    <t>IMU</t>
  </si>
  <si>
    <t>Motion Co-Processor</t>
  </si>
  <si>
    <t>Procesador interno para eventos de movimiento</t>
  </si>
  <si>
    <t>Reduce carga del ESP32</t>
  </si>
  <si>
    <t>Detección de eventos</t>
  </si>
  <si>
    <t>Detectar lanzamiento automáticamente</t>
  </si>
  <si>
    <t>Sensor Fusion</t>
  </si>
  <si>
    <t>Fusión interna de sensores</t>
  </si>
  <si>
    <t>Orientación más estable</t>
  </si>
  <si>
    <t>Navegación</t>
  </si>
  <si>
    <t>Referencia secundaria de actitud</t>
  </si>
  <si>
    <t>WoM</t>
  </si>
  <si>
    <t>Wake-on-Motion</t>
  </si>
  <si>
    <t>Ahorro energético</t>
  </si>
  <si>
    <t>Sistemas portátiles</t>
  </si>
  <si>
    <t>Activar captura al lanzamiento</t>
  </si>
  <si>
    <t>Timestamp</t>
  </si>
  <si>
    <t>Marca temporal hardware</t>
  </si>
  <si>
    <t>Sincronización precisa</t>
  </si>
  <si>
    <t>Fusión sensorial</t>
  </si>
  <si>
    <t>Fundamental para EKF</t>
  </si>
  <si>
    <t>Temp</t>
  </si>
  <si>
    <t>Temperatura interna</t>
  </si>
  <si>
    <t>Compensación térmica</t>
  </si>
  <si>
    <t>Calibración</t>
  </si>
  <si>
    <t>Reducir deriva</t>
  </si>
  <si>
    <t>Auto-Cal</t>
  </si>
  <si>
    <t>Calibración automática</t>
  </si>
  <si>
    <t>Menor error acumulado</t>
  </si>
  <si>
    <t>Giroscopios</t>
  </si>
  <si>
    <t>Mayor estabilidad</t>
  </si>
  <si>
    <t>FSM</t>
  </si>
  <si>
    <t>Máquina de estados</t>
  </si>
  <si>
    <t>Procesamiento local</t>
  </si>
  <si>
    <t>Identificar fases de vuelo</t>
  </si>
  <si>
    <t>MLC</t>
  </si>
  <si>
    <t>Machine Learning Core</t>
  </si>
  <si>
    <t>Clasificación local</t>
  </si>
  <si>
    <t>Detección inteligente</t>
  </si>
  <si>
    <t>Identificación de estados</t>
  </si>
  <si>
    <t>Sensor Hub</t>
  </si>
  <si>
    <t>Lectura directa de sensores externos</t>
  </si>
  <si>
    <t>Menos carga de CPU</t>
  </si>
  <si>
    <t>Multisensor</t>
  </si>
  <si>
    <t>Centralizar navegación</t>
  </si>
  <si>
    <t>FIFO Compression</t>
  </si>
  <si>
    <t>Compresión FIFO</t>
  </si>
  <si>
    <t>Más datos almacenados</t>
  </si>
  <si>
    <t>Alta frecuencia</t>
  </si>
  <si>
    <t>No perder muestras</t>
  </si>
  <si>
    <t>6D/4D Orientation</t>
  </si>
  <si>
    <t>Detección orientación espacial</t>
  </si>
  <si>
    <t>Conocimiento actitud</t>
  </si>
  <si>
    <t>Seguimiento</t>
  </si>
  <si>
    <t>Redundancia de actitud</t>
  </si>
  <si>
    <t>Free Fall</t>
  </si>
  <si>
    <t>Detección caída libre</t>
  </si>
  <si>
    <t>Eventos automáticos</t>
  </si>
  <si>
    <t>Seguridad</t>
  </si>
  <si>
    <t>Detectar descenso</t>
  </si>
  <si>
    <t>Wake-Up</t>
  </si>
  <si>
    <t>Activación por evento</t>
  </si>
  <si>
    <t>Menor consumo</t>
  </si>
  <si>
    <t>Equipos autónomos</t>
  </si>
  <si>
    <t>Activación inteligente</t>
  </si>
  <si>
    <t>MAG</t>
  </si>
  <si>
    <t>Self-Test</t>
  </si>
  <si>
    <t>Prueba interna</t>
  </si>
  <si>
    <t>Diagnóstico</t>
  </si>
  <si>
    <t>BIT</t>
  </si>
  <si>
    <t>Verificación previa al vuelo</t>
  </si>
  <si>
    <t>Temp Compensation</t>
  </si>
  <si>
    <t>Menor deriva</t>
  </si>
  <si>
    <t>Estabilidad rumbo</t>
  </si>
  <si>
    <t>Offset Calibration</t>
  </si>
  <si>
    <t>Corrección offset</t>
  </si>
  <si>
    <t>Mayor precisión</t>
  </si>
  <si>
    <t>Brújula</t>
  </si>
  <si>
    <t>Mejor yaw</t>
  </si>
  <si>
    <t>Auto Set/Reset</t>
  </si>
  <si>
    <t>Reimantación periódica</t>
  </si>
  <si>
    <t>Menos histéresis</t>
  </si>
  <si>
    <t>Rumbo consistente</t>
  </si>
  <si>
    <t>Degaussing</t>
  </si>
  <si>
    <t>Desmagnetización</t>
  </si>
  <si>
    <t>Menos error residual</t>
  </si>
  <si>
    <t>Campos fuertes</t>
  </si>
  <si>
    <t>BARO</t>
  </si>
  <si>
    <t>IIR Filter</t>
  </si>
  <si>
    <t>Filtro digital</t>
  </si>
  <si>
    <t>Reduce ruido</t>
  </si>
  <si>
    <t>Altimetría</t>
  </si>
  <si>
    <t>Altitud estable</t>
  </si>
  <si>
    <t>Oversampling</t>
  </si>
  <si>
    <t>Promediado interno</t>
  </si>
  <si>
    <t>Más resolución efectiva</t>
  </si>
  <si>
    <t>Sensores de precisión</t>
  </si>
  <si>
    <t>Menor ruido</t>
  </si>
  <si>
    <t>Forced Mode</t>
  </si>
  <si>
    <t>Conversión bajo demanda</t>
  </si>
  <si>
    <t>IoT</t>
  </si>
  <si>
    <t>Autonomía</t>
  </si>
  <si>
    <t>Buffer interno</t>
  </si>
  <si>
    <t>Evita pérdida de datos</t>
  </si>
  <si>
    <t>Vuelo rápido</t>
  </si>
  <si>
    <t>Apogeo preciso</t>
  </si>
  <si>
    <t>Interrupts</t>
  </si>
  <si>
    <t>Eventos hardware</t>
  </si>
  <si>
    <t>Menos carga CPU</t>
  </si>
  <si>
    <t>Tiempo real</t>
  </si>
  <si>
    <t>Respuesta inmediata</t>
  </si>
  <si>
    <t>Pressure Change Detect</t>
  </si>
  <si>
    <t>Detección de variaciones rápidas</t>
  </si>
  <si>
    <t>Detecta eventos</t>
  </si>
  <si>
    <t>Cohetería</t>
  </si>
  <si>
    <t>Apogeo</t>
  </si>
  <si>
    <t>NVM Calibration</t>
  </si>
  <si>
    <t>Calibración almacenada</t>
  </si>
  <si>
    <t>Menor error</t>
  </si>
  <si>
    <t>Instrumentación</t>
  </si>
  <si>
    <t>Precisión absoluta</t>
  </si>
  <si>
    <t>GNSS</t>
  </si>
  <si>
    <t>A-GNSS</t>
  </si>
  <si>
    <t>Datos auxiliares asistencia</t>
  </si>
  <si>
    <t>TTFF menor</t>
  </si>
  <si>
    <t>Inicio rápido</t>
  </si>
  <si>
    <t>D-GNSS</t>
  </si>
  <si>
    <t>Correcciones diferenciales</t>
  </si>
  <si>
    <t>Más precisión</t>
  </si>
  <si>
    <t>Topografía</t>
  </si>
  <si>
    <t>Mejor posición</t>
  </si>
  <si>
    <t>Anti-Jamming</t>
  </si>
  <si>
    <t>Mitigación interferencias</t>
  </si>
  <si>
    <t>Mayor disponibilidad</t>
  </si>
  <si>
    <t>RF compleja</t>
  </si>
  <si>
    <t>Posición fiable</t>
  </si>
  <si>
    <t>Anti-Spoofing</t>
  </si>
  <si>
    <t>Detección señales falsas</t>
  </si>
  <si>
    <t>UAV</t>
  </si>
  <si>
    <t>Evitar errores de posición</t>
  </si>
  <si>
    <t>Odometer</t>
  </si>
  <si>
    <t>Estimación distancia recorrida</t>
  </si>
  <si>
    <t>Navegación continua</t>
  </si>
  <si>
    <t>Vehículos</t>
  </si>
  <si>
    <t>Seguimiento trayectoria</t>
  </si>
  <si>
    <t>Geofencing</t>
  </si>
  <si>
    <t>Límites virtuales</t>
  </si>
  <si>
    <t>Alarmas geográficas</t>
  </si>
  <si>
    <t>Área de recuperación</t>
  </si>
  <si>
    <t>Batching</t>
  </si>
  <si>
    <t>Guarda posiciones</t>
  </si>
  <si>
    <t>Menos actividad MCU</t>
  </si>
  <si>
    <t>Logging</t>
  </si>
  <si>
    <t>Recuperar vuelo completo</t>
  </si>
  <si>
    <t>Integrity Monitoring</t>
  </si>
  <si>
    <t>Validación solución GNSS</t>
  </si>
  <si>
    <t>Mayor confianza</t>
  </si>
  <si>
    <t>Calidad de posición</t>
  </si>
  <si>
    <t>RTCM</t>
  </si>
  <si>
    <t>Correcciones externas</t>
  </si>
  <si>
    <t>Base RTK</t>
  </si>
  <si>
    <t>Futuras mejoras</t>
  </si>
  <si>
    <t>LoRa</t>
  </si>
  <si>
    <t>CAD</t>
  </si>
  <si>
    <t>Channel Activity Detection</t>
  </si>
  <si>
    <t>Detecta canal ocupado</t>
  </si>
  <si>
    <t>Comunicaciones</t>
  </si>
  <si>
    <t>Menos colisiones</t>
  </si>
  <si>
    <t>CRC</t>
  </si>
  <si>
    <t>Validación paquetes</t>
  </si>
  <si>
    <t>Detecta errores</t>
  </si>
  <si>
    <t>Telemetría</t>
  </si>
  <si>
    <t>Datos fiables</t>
  </si>
  <si>
    <t>IRQ</t>
  </si>
  <si>
    <t>Interrupciones hardware</t>
  </si>
  <si>
    <t>Radio</t>
  </si>
  <si>
    <t>Duty Cycling</t>
  </si>
  <si>
    <t>RX periódico</t>
  </si>
  <si>
    <t>Packet Engine</t>
  </si>
  <si>
    <t>Gestión interna paquetes</t>
  </si>
  <si>
    <t>Redes</t>
  </si>
  <si>
    <t>Frequency Hopping</t>
  </si>
  <si>
    <t>Cambio de frecuencia</t>
  </si>
  <si>
    <t>Mejor robustez</t>
  </si>
  <si>
    <t>RF</t>
  </si>
  <si>
    <t>Menos interferencias</t>
  </si>
  <si>
    <t>Variable</t>
  </si>
  <si>
    <t>Sensor Principal</t>
  </si>
  <si>
    <t>Sensor Respaldo</t>
  </si>
  <si>
    <t>Algoritmo</t>
  </si>
  <si>
    <t>Precisión Esperada</t>
  </si>
  <si>
    <t>Criticidad</t>
  </si>
  <si>
    <t>Latitud</t>
  </si>
  <si>
    <t>INS</t>
  </si>
  <si>
    <t>EKF</t>
  </si>
  <si>
    <t>1.5-3 m</t>
  </si>
  <si>
    <t>Crítica</t>
  </si>
  <si>
    <t>Longitud</t>
  </si>
  <si>
    <t>Altitud</t>
  </si>
  <si>
    <t>BME280 + GNSS</t>
  </si>
  <si>
    <t>±3.3 cm relativa</t>
  </si>
  <si>
    <t>Velocidad Vertical</t>
  </si>
  <si>
    <t>BMP581 + LSM6DSO32</t>
  </si>
  <si>
    <t>&lt;0.2 m/s</t>
  </si>
  <si>
    <t>Velocidad Horizontal</t>
  </si>
  <si>
    <t>&lt;0.5 m/s</t>
  </si>
  <si>
    <t>Alta</t>
  </si>
  <si>
    <t>Roll</t>
  </si>
  <si>
    <t>Madgwick</t>
  </si>
  <si>
    <t>1-2°</t>
  </si>
  <si>
    <t>Pitch</t>
  </si>
  <si>
    <t>Yaw</t>
  </si>
  <si>
    <t>Aceleración XYZ</t>
  </si>
  <si>
    <t>Directa</t>
  </si>
  <si>
    <t>Velocidad Angular XYZ</t>
  </si>
  <si>
    <t>Máximo de altitud</t>
  </si>
  <si>
    <t>&lt;1 m</t>
  </si>
  <si>
    <t>Distancia a estación</t>
  </si>
  <si>
    <t>WGS84</t>
  </si>
  <si>
    <t>2-5 m</t>
  </si>
  <si>
    <t>Azimut a estación</t>
  </si>
  <si>
    <t>Error INS-GNSS</t>
  </si>
  <si>
    <t>Innovación</t>
  </si>
  <si>
    <t>Función Principal</t>
  </si>
  <si>
    <t>Qué calcula</t>
  </si>
  <si>
    <t>Impacto si falla</t>
  </si>
  <si>
    <t>Importancia</t>
  </si>
  <si>
    <t>Posición absoluta</t>
  </si>
  <si>
    <t>Latitud, longitud, velocidad</t>
  </si>
  <si>
    <t>INS deriva con el tiempo</t>
  </si>
  <si>
    <t>Altitud de precisión</t>
  </si>
  <si>
    <t>Altitud, Vz, apogeo</t>
  </si>
  <si>
    <t>Se pierde precisión vertical</t>
  </si>
  <si>
    <t>INS principal</t>
  </si>
  <si>
    <t>Actitud, aceleración, rotación</t>
  </si>
  <si>
    <t>Sin navegación relativa</t>
  </si>
  <si>
    <t>Rumbo principal</t>
  </si>
  <si>
    <t>Heading absoluto</t>
  </si>
  <si>
    <t>Drift en yaw</t>
  </si>
  <si>
    <t>Muy alta</t>
  </si>
  <si>
    <t>Envío de datos</t>
  </si>
  <si>
    <t>Sin monitoreo en tiempo real</t>
  </si>
  <si>
    <t>INS secundaria</t>
  </si>
  <si>
    <t>Redundancia actitud</t>
  </si>
  <si>
    <t>Menos confiabilidad</t>
  </si>
  <si>
    <t>Barómetro respaldo</t>
  </si>
  <si>
    <t>Altitud secundaria</t>
  </si>
  <si>
    <t>Menor redundancia</t>
  </si>
  <si>
    <t>Media</t>
  </si>
  <si>
    <t>Magnetómetro respaldo</t>
  </si>
  <si>
    <t>Rumbo secundario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</si>
</sst>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vertical="center" wrapText="1"/>
    </xf>
    <xf numFmtId="18" fontId="0" fillId="0" borderId="0" xfId="0" applyNumberFormat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2"/>
  <sheetViews>
    <sheetView zoomScaleNormal="100" workbookViewId="0">
      <selection activeCell="B2" sqref="B2:B7"/>
    </sheetView>
  </sheetViews>
  <sheetFormatPr defaultColWidth="9" defaultRowHeight="14.25"/>
  <cols>
    <col min="1" max="1" width="10.85546875" style="2" customWidth="1"/>
    <col min="2" max="2" width="17.28515625" style="2" customWidth="1"/>
    <col min="3" max="3" width="11.85546875" style="2" bestFit="1" customWidth="1"/>
    <col min="4" max="4" width="15" style="2" customWidth="1"/>
    <col min="5" max="5" width="13.42578125" style="2" bestFit="1" customWidth="1"/>
    <col min="6" max="6" width="14.42578125" style="2" customWidth="1"/>
    <col min="7" max="7" width="17.28515625" style="2" customWidth="1"/>
    <col min="8" max="8" width="12.42578125" style="2" bestFit="1" customWidth="1"/>
    <col min="9" max="9" width="12.140625" style="2" bestFit="1" customWidth="1"/>
    <col min="10" max="10" width="7" style="2" bestFit="1" customWidth="1"/>
    <col min="11" max="11" width="12.28515625" style="2" bestFit="1" customWidth="1"/>
    <col min="12" max="12" width="13.140625" style="2" bestFit="1" customWidth="1"/>
    <col min="13" max="13" width="49.5703125" style="2" bestFit="1" customWidth="1"/>
    <col min="14" max="15" width="9" style="2" customWidth="1"/>
    <col min="16" max="16384" width="9" style="2"/>
  </cols>
  <sheetData>
    <row r="1" spans="1:13" ht="4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2" t="s">
        <v>13</v>
      </c>
      <c r="B2" s="12" t="s">
        <v>14</v>
      </c>
      <c r="C2" s="1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12" t="s">
        <v>22</v>
      </c>
      <c r="K2" s="12" t="s">
        <v>23</v>
      </c>
      <c r="L2" s="12" t="s">
        <v>24</v>
      </c>
      <c r="M2" s="2" t="s">
        <v>25</v>
      </c>
    </row>
    <row r="3" spans="1:13">
      <c r="A3" s="12"/>
      <c r="B3" s="12"/>
      <c r="C3" s="12"/>
      <c r="D3" s="2" t="s">
        <v>26</v>
      </c>
      <c r="E3" s="2" t="s">
        <v>17</v>
      </c>
      <c r="F3" s="2" t="s">
        <v>27</v>
      </c>
      <c r="G3" s="2" t="s">
        <v>28</v>
      </c>
      <c r="H3" s="2" t="s">
        <v>29</v>
      </c>
      <c r="I3" s="2" t="s">
        <v>21</v>
      </c>
      <c r="J3" s="12"/>
      <c r="K3" s="12"/>
      <c r="L3" s="12"/>
      <c r="M3" s="2" t="s">
        <v>30</v>
      </c>
    </row>
    <row r="4" spans="1:13" ht="28.5" customHeight="1">
      <c r="A4" s="12"/>
      <c r="B4" s="12"/>
      <c r="C4" s="2" t="s">
        <v>31</v>
      </c>
      <c r="D4" s="2" t="s">
        <v>32</v>
      </c>
      <c r="E4" s="2" t="s">
        <v>17</v>
      </c>
      <c r="F4" s="2" t="s">
        <v>33</v>
      </c>
      <c r="G4" s="2" t="s">
        <v>34</v>
      </c>
      <c r="H4" s="2" t="s">
        <v>35</v>
      </c>
      <c r="I4" s="2" t="s">
        <v>36</v>
      </c>
      <c r="J4" s="2" t="s">
        <v>22</v>
      </c>
      <c r="K4" s="2" t="s">
        <v>37</v>
      </c>
      <c r="L4" s="2" t="s">
        <v>38</v>
      </c>
      <c r="M4" s="2" t="s">
        <v>39</v>
      </c>
    </row>
    <row r="5" spans="1:13" ht="28.5" customHeight="1">
      <c r="A5" s="12"/>
      <c r="B5" s="12"/>
      <c r="C5" s="12" t="s">
        <v>40</v>
      </c>
      <c r="D5" s="2" t="s">
        <v>41</v>
      </c>
      <c r="E5" s="2" t="s">
        <v>42</v>
      </c>
      <c r="F5" s="2" t="s">
        <v>43</v>
      </c>
      <c r="G5" s="2" t="s">
        <v>44</v>
      </c>
      <c r="H5" s="2" t="s">
        <v>45</v>
      </c>
      <c r="I5" s="2" t="s">
        <v>46</v>
      </c>
      <c r="J5" s="12" t="s">
        <v>22</v>
      </c>
      <c r="K5" s="12" t="s">
        <v>47</v>
      </c>
      <c r="L5" s="2" t="s">
        <v>38</v>
      </c>
      <c r="M5" s="2" t="s">
        <v>48</v>
      </c>
    </row>
    <row r="6" spans="1:13" ht="28.5" customHeight="1">
      <c r="A6" s="12"/>
      <c r="B6" s="12"/>
      <c r="C6" s="12"/>
      <c r="D6" s="2" t="s">
        <v>49</v>
      </c>
      <c r="E6" s="2" t="s">
        <v>42</v>
      </c>
      <c r="F6" s="2" t="s">
        <v>50</v>
      </c>
      <c r="G6" s="2" t="s">
        <v>51</v>
      </c>
      <c r="I6" s="2" t="s">
        <v>46</v>
      </c>
      <c r="J6" s="12"/>
      <c r="K6" s="12"/>
      <c r="L6" s="2" t="s">
        <v>38</v>
      </c>
      <c r="M6" s="2" t="s">
        <v>52</v>
      </c>
    </row>
    <row r="7" spans="1:13" ht="28.5" customHeight="1">
      <c r="A7" s="12"/>
      <c r="B7" s="12"/>
      <c r="C7" s="12"/>
      <c r="D7" s="2" t="s">
        <v>53</v>
      </c>
      <c r="E7" s="2" t="s">
        <v>17</v>
      </c>
      <c r="F7" s="2" t="s">
        <v>54</v>
      </c>
      <c r="G7" s="2" t="s">
        <v>55</v>
      </c>
      <c r="H7" s="2" t="s">
        <v>56</v>
      </c>
      <c r="I7" s="2" t="s">
        <v>46</v>
      </c>
      <c r="J7" s="12"/>
      <c r="K7" s="12"/>
      <c r="L7" s="2" t="s">
        <v>38</v>
      </c>
      <c r="M7" s="2" t="s">
        <v>52</v>
      </c>
    </row>
    <row r="8" spans="1:13" ht="42.75" customHeight="1">
      <c r="A8" s="12"/>
      <c r="B8" s="12" t="s">
        <v>57</v>
      </c>
      <c r="C8" s="12" t="s">
        <v>58</v>
      </c>
      <c r="D8" s="2" t="s">
        <v>41</v>
      </c>
      <c r="E8" s="2" t="s">
        <v>59</v>
      </c>
      <c r="F8" s="2" t="s">
        <v>60</v>
      </c>
      <c r="G8" s="2" t="s">
        <v>61</v>
      </c>
      <c r="H8" s="2" t="s">
        <v>62</v>
      </c>
      <c r="I8" s="2" t="s">
        <v>63</v>
      </c>
      <c r="J8" s="2" t="s">
        <v>64</v>
      </c>
      <c r="K8" s="12" t="s">
        <v>65</v>
      </c>
      <c r="L8" s="2" t="s">
        <v>66</v>
      </c>
      <c r="M8" s="2" t="s">
        <v>67</v>
      </c>
    </row>
    <row r="9" spans="1:13" ht="28.5" customHeight="1">
      <c r="A9" s="12"/>
      <c r="B9" s="12"/>
      <c r="C9" s="12"/>
      <c r="D9" s="2" t="s">
        <v>49</v>
      </c>
      <c r="E9" s="2" t="s">
        <v>59</v>
      </c>
      <c r="F9" s="2" t="s">
        <v>50</v>
      </c>
      <c r="G9" s="2" t="s">
        <v>51</v>
      </c>
      <c r="I9" s="2" t="s">
        <v>63</v>
      </c>
      <c r="J9" s="2" t="s">
        <v>64</v>
      </c>
      <c r="K9" s="12"/>
      <c r="L9" s="2" t="s">
        <v>66</v>
      </c>
      <c r="M9" s="2" t="s">
        <v>68</v>
      </c>
    </row>
    <row r="10" spans="1:13" ht="42.75" customHeight="1">
      <c r="A10" s="12"/>
      <c r="B10" s="2" t="s">
        <v>69</v>
      </c>
      <c r="C10" s="2" t="s">
        <v>70</v>
      </c>
      <c r="D10" s="2" t="s">
        <v>32</v>
      </c>
      <c r="E10" s="2" t="s">
        <v>71</v>
      </c>
      <c r="F10" s="2" t="s">
        <v>72</v>
      </c>
      <c r="G10" s="2" t="s">
        <v>73</v>
      </c>
      <c r="H10" s="2" t="s">
        <v>74</v>
      </c>
      <c r="I10" s="2" t="s">
        <v>75</v>
      </c>
      <c r="J10" s="2" t="s">
        <v>64</v>
      </c>
      <c r="K10" s="2">
        <v>1</v>
      </c>
      <c r="L10" s="2" t="s">
        <v>38</v>
      </c>
      <c r="M10" s="2" t="s">
        <v>76</v>
      </c>
    </row>
    <row r="11" spans="1:13" ht="42.75" customHeight="1">
      <c r="A11" s="12"/>
      <c r="B11" s="12" t="s">
        <v>77</v>
      </c>
      <c r="C11" s="12" t="s">
        <v>78</v>
      </c>
      <c r="D11" s="2" t="s">
        <v>16</v>
      </c>
      <c r="E11" s="2" t="s">
        <v>17</v>
      </c>
      <c r="F11" s="2" t="s">
        <v>79</v>
      </c>
      <c r="G11" s="2" t="s">
        <v>80</v>
      </c>
      <c r="H11" s="2" t="s">
        <v>81</v>
      </c>
      <c r="I11" s="2" t="s">
        <v>82</v>
      </c>
      <c r="J11" s="2" t="s">
        <v>64</v>
      </c>
      <c r="K11" s="12" t="s">
        <v>83</v>
      </c>
      <c r="L11" s="12" t="s">
        <v>84</v>
      </c>
      <c r="M11" s="2" t="s">
        <v>85</v>
      </c>
    </row>
    <row r="12" spans="1:13" ht="28.5" customHeight="1">
      <c r="A12" s="12"/>
      <c r="B12" s="12"/>
      <c r="C12" s="12"/>
      <c r="D12" s="2" t="s">
        <v>26</v>
      </c>
      <c r="E12" s="2" t="s">
        <v>17</v>
      </c>
      <c r="F12" s="2" t="s">
        <v>86</v>
      </c>
      <c r="G12" s="2" t="s">
        <v>87</v>
      </c>
      <c r="H12" s="2" t="s">
        <v>88</v>
      </c>
      <c r="I12" s="2" t="s">
        <v>82</v>
      </c>
      <c r="J12" s="2" t="s">
        <v>64</v>
      </c>
      <c r="K12" s="12"/>
      <c r="L12" s="12"/>
      <c r="M12" s="2" t="s">
        <v>89</v>
      </c>
    </row>
  </sheetData>
  <mergeCells count="16">
    <mergeCell ref="L11:L12"/>
    <mergeCell ref="K11:K12"/>
    <mergeCell ref="C8:C9"/>
    <mergeCell ref="K8:K9"/>
    <mergeCell ref="A2:A12"/>
    <mergeCell ref="B2:B7"/>
    <mergeCell ref="B11:B12"/>
    <mergeCell ref="C5:C7"/>
    <mergeCell ref="B8:B9"/>
    <mergeCell ref="C11:C12"/>
    <mergeCell ref="K2:K3"/>
    <mergeCell ref="K5:K7"/>
    <mergeCell ref="C2:C3"/>
    <mergeCell ref="J5:J7"/>
    <mergeCell ref="J2:J3"/>
    <mergeCell ref="L2:L3"/>
  </mergeCells>
  <pageMargins left="0.75" right="0.75" top="1" bottom="1" header="0.5" footer="0.5"/>
  <pageSetup scale="59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7"/>
  <sheetViews>
    <sheetView topLeftCell="B1" zoomScaleNormal="100" workbookViewId="0">
      <selection activeCell="B6" sqref="B6:C6"/>
    </sheetView>
  </sheetViews>
  <sheetFormatPr defaultColWidth="10.7109375" defaultRowHeight="14.25"/>
  <cols>
    <col min="1" max="1" width="9" style="2" bestFit="1" customWidth="1"/>
    <col min="2" max="2" width="16.7109375" style="2" bestFit="1" customWidth="1"/>
    <col min="3" max="3" width="13" style="2" bestFit="1" customWidth="1"/>
    <col min="4" max="4" width="36.7109375" style="2" bestFit="1" customWidth="1"/>
    <col min="5" max="5" width="26.7109375" style="2" bestFit="1" customWidth="1"/>
    <col min="6" max="6" width="16" style="2" bestFit="1" customWidth="1"/>
    <col min="7" max="7" width="15.140625" style="2" bestFit="1" customWidth="1"/>
    <col min="8" max="8" width="17.140625" style="2" bestFit="1" customWidth="1"/>
    <col min="9" max="9" width="15" style="2" bestFit="1" customWidth="1"/>
    <col min="10" max="10" width="8.5703125" style="2" bestFit="1" customWidth="1"/>
    <col min="11" max="11" width="10.42578125" style="2" customWidth="1"/>
    <col min="12" max="12" width="11.85546875" style="2" bestFit="1" customWidth="1"/>
    <col min="13" max="13" width="17.28515625" style="2" bestFit="1" customWidth="1"/>
    <col min="14" max="14" width="7.140625" style="2" bestFit="1" customWidth="1"/>
    <col min="15" max="15" width="13" style="2" bestFit="1" customWidth="1"/>
    <col min="16" max="16" width="10.5703125" style="2" bestFit="1" customWidth="1"/>
    <col min="17" max="17" width="4" style="2" bestFit="1" customWidth="1"/>
    <col min="18" max="18" width="30.28515625" style="2" bestFit="1" customWidth="1"/>
    <col min="19" max="19" width="76.42578125" style="2" bestFit="1" customWidth="1"/>
    <col min="20" max="21" width="10.7109375" style="2" customWidth="1"/>
    <col min="22" max="16384" width="10.7109375" style="2"/>
  </cols>
  <sheetData>
    <row r="1" spans="1:19" ht="25.9" customHeight="1">
      <c r="A1" s="1" t="s">
        <v>0</v>
      </c>
      <c r="B1" s="1" t="s">
        <v>1</v>
      </c>
      <c r="C1" s="1" t="s">
        <v>2</v>
      </c>
      <c r="D1" s="1" t="s">
        <v>90</v>
      </c>
      <c r="E1" s="1" t="s">
        <v>91</v>
      </c>
      <c r="F1" s="1" t="s">
        <v>92</v>
      </c>
      <c r="G1" s="1" t="s">
        <v>93</v>
      </c>
      <c r="H1" s="1" t="s">
        <v>94</v>
      </c>
      <c r="I1" s="1" t="s">
        <v>95</v>
      </c>
      <c r="J1" s="1" t="s">
        <v>96</v>
      </c>
      <c r="K1" s="1" t="s">
        <v>97</v>
      </c>
      <c r="L1" s="1" t="s">
        <v>98</v>
      </c>
      <c r="M1" s="1" t="s">
        <v>10</v>
      </c>
      <c r="N1" s="1" t="s">
        <v>9</v>
      </c>
      <c r="O1" s="1" t="s">
        <v>99</v>
      </c>
      <c r="P1" s="1" t="s">
        <v>100</v>
      </c>
      <c r="Q1" s="1" t="s">
        <v>101</v>
      </c>
      <c r="R1" s="1" t="s">
        <v>102</v>
      </c>
      <c r="S1" s="1" t="s">
        <v>12</v>
      </c>
    </row>
    <row r="2" spans="1:19" ht="28.5" customHeight="1">
      <c r="A2" s="2" t="s">
        <v>13</v>
      </c>
      <c r="B2" s="2" t="s">
        <v>14</v>
      </c>
      <c r="C2" s="2" t="s">
        <v>103</v>
      </c>
      <c r="D2" s="2" t="s">
        <v>104</v>
      </c>
      <c r="E2" s="2" t="s">
        <v>105</v>
      </c>
      <c r="F2" s="2" t="s">
        <v>106</v>
      </c>
      <c r="G2" s="2" t="s">
        <v>107</v>
      </c>
      <c r="H2" s="2" t="s">
        <v>108</v>
      </c>
      <c r="I2" s="2" t="s">
        <v>109</v>
      </c>
      <c r="J2" s="2" t="s">
        <v>110</v>
      </c>
      <c r="K2" s="2" t="s">
        <v>111</v>
      </c>
      <c r="L2" s="2" t="s">
        <v>112</v>
      </c>
      <c r="M2" s="2">
        <v>100</v>
      </c>
      <c r="N2" s="2" t="s">
        <v>113</v>
      </c>
      <c r="O2" s="2" t="s">
        <v>114</v>
      </c>
      <c r="P2" s="2" t="s">
        <v>115</v>
      </c>
      <c r="Q2" s="2" t="s">
        <v>38</v>
      </c>
      <c r="R2" s="2" t="s">
        <v>116</v>
      </c>
      <c r="S2" s="2" t="s">
        <v>117</v>
      </c>
    </row>
    <row r="3" spans="1:19" ht="27" customHeight="1">
      <c r="A3" s="2" t="s">
        <v>118</v>
      </c>
      <c r="B3" s="2" t="s">
        <v>119</v>
      </c>
      <c r="C3" s="2" t="s">
        <v>120</v>
      </c>
      <c r="D3" s="2" t="s">
        <v>104</v>
      </c>
      <c r="E3" s="2" t="s">
        <v>121</v>
      </c>
      <c r="F3" s="2" t="s">
        <v>106</v>
      </c>
      <c r="G3" s="2" t="s">
        <v>107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112</v>
      </c>
      <c r="M3" s="2">
        <v>67</v>
      </c>
      <c r="N3" s="2" t="s">
        <v>113</v>
      </c>
      <c r="O3" s="2" t="s">
        <v>114</v>
      </c>
      <c r="P3" s="2" t="s">
        <v>126</v>
      </c>
      <c r="Q3" s="2" t="s">
        <v>38</v>
      </c>
      <c r="R3" s="2" t="s">
        <v>127</v>
      </c>
      <c r="S3" s="2" t="s">
        <v>128</v>
      </c>
    </row>
    <row r="4" spans="1:19">
      <c r="B4" s="12"/>
      <c r="C4" s="12"/>
    </row>
    <row r="5" spans="1:19" ht="25.9" customHeight="1">
      <c r="A5" s="1" t="s">
        <v>0</v>
      </c>
      <c r="B5" s="1" t="s">
        <v>1</v>
      </c>
      <c r="C5" s="1" t="s">
        <v>2</v>
      </c>
      <c r="D5" s="1" t="s">
        <v>129</v>
      </c>
      <c r="E5" s="1" t="s">
        <v>91</v>
      </c>
      <c r="F5" s="1" t="s">
        <v>130</v>
      </c>
      <c r="G5" s="1" t="s">
        <v>131</v>
      </c>
      <c r="H5" s="1" t="s">
        <v>132</v>
      </c>
      <c r="I5" s="1" t="s">
        <v>133</v>
      </c>
      <c r="J5" s="4"/>
      <c r="K5" s="4"/>
      <c r="L5" s="1"/>
      <c r="M5" s="1" t="s">
        <v>10</v>
      </c>
      <c r="N5" s="1"/>
      <c r="O5" s="1" t="s">
        <v>134</v>
      </c>
      <c r="P5" s="1"/>
      <c r="Q5" s="1"/>
      <c r="R5" s="1"/>
      <c r="S5" s="1" t="s">
        <v>12</v>
      </c>
    </row>
    <row r="6" spans="1:19" ht="28.5" customHeight="1">
      <c r="A6" s="2" t="s">
        <v>135</v>
      </c>
      <c r="B6" s="2" t="s">
        <v>136</v>
      </c>
      <c r="C6" s="2" t="s">
        <v>137</v>
      </c>
      <c r="D6" s="2" t="s">
        <v>138</v>
      </c>
      <c r="E6" s="2" t="s">
        <v>139</v>
      </c>
      <c r="F6" s="2" t="s">
        <v>140</v>
      </c>
      <c r="G6" s="2" t="s">
        <v>141</v>
      </c>
      <c r="H6" s="2" t="s">
        <v>142</v>
      </c>
      <c r="I6" s="2" t="s">
        <v>143</v>
      </c>
      <c r="J6" s="3"/>
      <c r="K6" s="3"/>
      <c r="M6" s="2">
        <v>20</v>
      </c>
      <c r="O6" s="2" t="s">
        <v>144</v>
      </c>
      <c r="S6" s="2" t="s">
        <v>145</v>
      </c>
    </row>
    <row r="7" spans="1:19" ht="28.5" customHeight="1">
      <c r="A7" s="2" t="s">
        <v>118</v>
      </c>
      <c r="B7" s="2" t="s">
        <v>136</v>
      </c>
      <c r="C7" s="2" t="s">
        <v>146</v>
      </c>
      <c r="D7" s="2" t="s">
        <v>147</v>
      </c>
      <c r="E7" s="2" t="s">
        <v>148</v>
      </c>
      <c r="F7" s="2" t="s">
        <v>140</v>
      </c>
      <c r="G7" s="2" t="s">
        <v>149</v>
      </c>
      <c r="H7" s="2" t="s">
        <v>142</v>
      </c>
      <c r="I7" s="2" t="s">
        <v>143</v>
      </c>
      <c r="M7" s="2">
        <v>20</v>
      </c>
      <c r="O7" s="2" t="s">
        <v>150</v>
      </c>
      <c r="S7" s="2" t="s">
        <v>151</v>
      </c>
    </row>
  </sheetData>
  <mergeCells count="1">
    <mergeCell ref="B4:C4"/>
  </mergeCells>
  <pageMargins left="0.7" right="0.7" top="0.75" bottom="0.75" header="0.3" footer="0.3"/>
  <pageSetup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6"/>
  <sheetViews>
    <sheetView workbookViewId="0">
      <selection activeCell="A4" sqref="A4"/>
    </sheetView>
  </sheetViews>
  <sheetFormatPr defaultColWidth="10.7109375" defaultRowHeight="14.25"/>
  <cols>
    <col min="1" max="1" width="14.140625" style="2" customWidth="1"/>
    <col min="2" max="2" width="20.28515625" style="2" customWidth="1"/>
    <col min="3" max="3" width="13.140625" style="2" customWidth="1"/>
    <col min="4" max="4" width="14.28515625" style="2" bestFit="1" customWidth="1"/>
    <col min="5" max="5" width="27.5703125" style="2" bestFit="1" customWidth="1"/>
    <col min="6" max="6" width="11.42578125" style="2" customWidth="1"/>
    <col min="7" max="7" width="14.140625" style="2" customWidth="1"/>
    <col min="8" max="8" width="10.28515625" style="2" bestFit="1" customWidth="1"/>
    <col min="9" max="9" width="10" style="2" bestFit="1" customWidth="1"/>
    <col min="10" max="10" width="9.140625" style="2" customWidth="1"/>
    <col min="11" max="11" width="8" style="2" customWidth="1"/>
    <col min="12" max="12" width="25" style="2" bestFit="1" customWidth="1"/>
    <col min="13" max="13" width="8.42578125" style="2" bestFit="1" customWidth="1"/>
    <col min="14" max="14" width="7" style="2" bestFit="1" customWidth="1"/>
    <col min="15" max="15" width="8.42578125" style="2" bestFit="1" customWidth="1"/>
    <col min="16" max="16" width="48.140625" style="2" customWidth="1"/>
    <col min="17" max="17" width="10.7109375" style="2" customWidth="1"/>
    <col min="18" max="16384" width="10.7109375" style="2"/>
  </cols>
  <sheetData>
    <row r="1" spans="1:16" ht="28.5" customHeight="1">
      <c r="A1" s="1" t="s">
        <v>0</v>
      </c>
      <c r="B1" s="1" t="s">
        <v>1</v>
      </c>
      <c r="C1" s="1" t="s">
        <v>2</v>
      </c>
      <c r="D1" s="1" t="s">
        <v>129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99</v>
      </c>
      <c r="M1" s="1" t="s">
        <v>159</v>
      </c>
      <c r="N1" s="1" t="s">
        <v>9</v>
      </c>
      <c r="O1" s="1" t="s">
        <v>11</v>
      </c>
      <c r="P1" s="1" t="s">
        <v>12</v>
      </c>
    </row>
    <row r="2" spans="1:16" ht="42.75" customHeight="1">
      <c r="A2" s="2" t="s">
        <v>160</v>
      </c>
      <c r="B2" s="2" t="s">
        <v>161</v>
      </c>
      <c r="C2" s="2" t="s">
        <v>162</v>
      </c>
      <c r="D2" s="2" t="s">
        <v>163</v>
      </c>
      <c r="E2" s="2" t="s">
        <v>164</v>
      </c>
      <c r="F2" s="2" t="s">
        <v>165</v>
      </c>
      <c r="G2" s="2" t="s">
        <v>107</v>
      </c>
      <c r="H2" s="2" t="s">
        <v>166</v>
      </c>
      <c r="I2" s="2" t="s">
        <v>167</v>
      </c>
      <c r="J2" s="2" t="s">
        <v>168</v>
      </c>
      <c r="K2" s="2" t="s">
        <v>169</v>
      </c>
      <c r="L2" s="2" t="s">
        <v>170</v>
      </c>
      <c r="M2" s="2" t="s">
        <v>171</v>
      </c>
      <c r="N2" s="2" t="s">
        <v>113</v>
      </c>
      <c r="O2" s="2" t="s">
        <v>172</v>
      </c>
      <c r="P2" s="2" t="s">
        <v>173</v>
      </c>
    </row>
    <row r="4" spans="1:16" ht="28.5" customHeight="1">
      <c r="A4" s="1" t="s">
        <v>0</v>
      </c>
      <c r="B4" s="1" t="s">
        <v>2</v>
      </c>
      <c r="C4" s="1" t="s">
        <v>129</v>
      </c>
      <c r="D4" s="1" t="s">
        <v>152</v>
      </c>
      <c r="E4" s="1" t="s">
        <v>174</v>
      </c>
      <c r="F4" s="1"/>
      <c r="G4" s="1" t="s">
        <v>130</v>
      </c>
      <c r="H4" s="1" t="s">
        <v>175</v>
      </c>
      <c r="I4" s="1" t="s">
        <v>132</v>
      </c>
      <c r="J4" s="1" t="s">
        <v>176</v>
      </c>
      <c r="K4" s="1"/>
      <c r="L4" s="1" t="s">
        <v>177</v>
      </c>
      <c r="M4" s="1" t="s">
        <v>131</v>
      </c>
      <c r="N4" s="1"/>
      <c r="O4" s="1"/>
      <c r="P4" s="1" t="s">
        <v>12</v>
      </c>
    </row>
    <row r="5" spans="1:16" ht="42.75" customHeight="1">
      <c r="A5" s="2" t="s">
        <v>118</v>
      </c>
      <c r="B5" s="2" t="s">
        <v>178</v>
      </c>
      <c r="C5" s="2" t="s">
        <v>179</v>
      </c>
      <c r="D5" s="2" t="s">
        <v>180</v>
      </c>
      <c r="E5" s="2" t="s">
        <v>181</v>
      </c>
      <c r="G5" s="2" t="s">
        <v>182</v>
      </c>
      <c r="H5" s="2" t="s">
        <v>183</v>
      </c>
      <c r="I5" s="2" t="s">
        <v>184</v>
      </c>
      <c r="J5" s="2" t="s">
        <v>185</v>
      </c>
      <c r="L5" s="2" t="s">
        <v>186</v>
      </c>
      <c r="M5" s="2" t="s">
        <v>187</v>
      </c>
      <c r="P5" s="2" t="s">
        <v>188</v>
      </c>
    </row>
    <row r="6" spans="1:16" ht="28.5" customHeight="1">
      <c r="A6" s="2" t="s">
        <v>13</v>
      </c>
      <c r="B6" s="2" t="s">
        <v>189</v>
      </c>
      <c r="C6" s="2" t="s">
        <v>190</v>
      </c>
      <c r="D6" s="2" t="s">
        <v>191</v>
      </c>
      <c r="E6" s="2" t="s">
        <v>192</v>
      </c>
      <c r="G6" s="2" t="s">
        <v>182</v>
      </c>
      <c r="H6" s="2" t="s">
        <v>183</v>
      </c>
      <c r="I6" s="2" t="s">
        <v>184</v>
      </c>
      <c r="J6" s="2" t="s">
        <v>193</v>
      </c>
      <c r="L6" s="2" t="s">
        <v>194</v>
      </c>
      <c r="M6" s="2" t="s">
        <v>187</v>
      </c>
      <c r="P6" s="2" t="s">
        <v>195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"/>
  <sheetViews>
    <sheetView workbookViewId="0">
      <selection activeCell="H7" sqref="H7"/>
    </sheetView>
  </sheetViews>
  <sheetFormatPr defaultColWidth="9" defaultRowHeight="14.25"/>
  <cols>
    <col min="1" max="1" width="11.140625" style="7" customWidth="1"/>
    <col min="2" max="2" width="20.28515625" style="7" bestFit="1" customWidth="1"/>
    <col min="3" max="3" width="15.28515625" style="7" customWidth="1"/>
    <col min="4" max="4" width="16.5703125" style="7" customWidth="1"/>
    <col min="5" max="5" width="9" style="7"/>
    <col min="6" max="6" width="11.5703125" style="7" customWidth="1"/>
    <col min="7" max="7" width="14" style="7" customWidth="1"/>
    <col min="8" max="8" width="16.85546875" style="7" customWidth="1"/>
    <col min="9" max="9" width="9" style="9" bestFit="1" customWidth="1"/>
    <col min="10" max="10" width="17.28515625" style="7" bestFit="1" customWidth="1"/>
    <col min="11" max="11" width="27.42578125" style="7" bestFit="1" customWidth="1"/>
    <col min="12" max="14" width="13.140625" style="7" bestFit="1" customWidth="1"/>
    <col min="15" max="15" width="19.28515625" style="7" bestFit="1" customWidth="1"/>
    <col min="16" max="16" width="83.42578125" style="7" bestFit="1" customWidth="1"/>
    <col min="17" max="16384" width="9" style="7"/>
  </cols>
  <sheetData>
    <row r="1" spans="1:16" ht="25.9" customHeight="1">
      <c r="A1" s="6" t="s">
        <v>0</v>
      </c>
      <c r="B1" s="6" t="s">
        <v>1</v>
      </c>
      <c r="C1" s="6" t="s">
        <v>2</v>
      </c>
      <c r="D1" s="6" t="s">
        <v>129</v>
      </c>
      <c r="E1" s="6" t="s">
        <v>196</v>
      </c>
      <c r="F1" s="6" t="s">
        <v>197</v>
      </c>
      <c r="G1" s="6" t="s">
        <v>198</v>
      </c>
      <c r="H1" s="6" t="s">
        <v>199</v>
      </c>
      <c r="I1" s="8" t="s">
        <v>200</v>
      </c>
      <c r="J1" s="6" t="s">
        <v>201</v>
      </c>
      <c r="K1" s="6" t="s">
        <v>202</v>
      </c>
      <c r="L1" s="6" t="s">
        <v>203</v>
      </c>
      <c r="M1" s="6" t="s">
        <v>204</v>
      </c>
      <c r="N1" s="6" t="s">
        <v>9</v>
      </c>
      <c r="O1" s="6" t="s">
        <v>205</v>
      </c>
      <c r="P1" s="6" t="s">
        <v>12</v>
      </c>
    </row>
    <row r="2" spans="1:16">
      <c r="A2" s="13" t="s">
        <v>13</v>
      </c>
      <c r="B2" s="7" t="s">
        <v>14</v>
      </c>
      <c r="C2" s="7" t="s">
        <v>206</v>
      </c>
      <c r="D2" s="7" t="s">
        <v>207</v>
      </c>
      <c r="F2" s="7" t="s">
        <v>208</v>
      </c>
      <c r="H2" s="7" t="s">
        <v>209</v>
      </c>
      <c r="I2" s="9" t="s">
        <v>210</v>
      </c>
      <c r="J2" s="7" t="s">
        <v>211</v>
      </c>
      <c r="K2" s="2" t="s">
        <v>212</v>
      </c>
      <c r="L2" s="7" t="s">
        <v>213</v>
      </c>
      <c r="M2" s="7" t="s">
        <v>214</v>
      </c>
      <c r="N2" s="7" t="s">
        <v>215</v>
      </c>
      <c r="O2" s="7" t="s">
        <v>216</v>
      </c>
      <c r="P2" s="7" t="s">
        <v>217</v>
      </c>
    </row>
    <row r="3" spans="1:16">
      <c r="A3" s="13"/>
      <c r="B3" s="7" t="s">
        <v>119</v>
      </c>
      <c r="C3" s="7" t="s">
        <v>206</v>
      </c>
      <c r="D3" s="7" t="s">
        <v>207</v>
      </c>
      <c r="F3" s="7" t="s">
        <v>208</v>
      </c>
      <c r="H3" s="7" t="s">
        <v>209</v>
      </c>
      <c r="I3" s="9" t="s">
        <v>210</v>
      </c>
      <c r="J3" s="7" t="s">
        <v>211</v>
      </c>
      <c r="K3" s="2" t="s">
        <v>212</v>
      </c>
      <c r="L3" s="7" t="s">
        <v>213</v>
      </c>
      <c r="M3" s="7" t="s">
        <v>214</v>
      </c>
      <c r="N3" s="7" t="s">
        <v>215</v>
      </c>
      <c r="O3" s="7" t="s">
        <v>216</v>
      </c>
      <c r="P3" s="7" t="s">
        <v>217</v>
      </c>
    </row>
    <row r="4" spans="1:16">
      <c r="A4" s="7" t="s">
        <v>218</v>
      </c>
      <c r="B4" s="7" t="s">
        <v>219</v>
      </c>
      <c r="C4" s="7" t="s">
        <v>220</v>
      </c>
      <c r="D4" s="7" t="s">
        <v>221</v>
      </c>
      <c r="F4" s="7" t="s">
        <v>222</v>
      </c>
      <c r="G4" s="7" t="s">
        <v>223</v>
      </c>
      <c r="H4" s="7" t="s">
        <v>224</v>
      </c>
      <c r="I4" s="9">
        <f>2*I5</f>
        <v>6000</v>
      </c>
      <c r="J4" s="7" t="s">
        <v>225</v>
      </c>
      <c r="K4" s="7" t="s">
        <v>226</v>
      </c>
      <c r="O4" s="7" t="s">
        <v>227</v>
      </c>
      <c r="P4" s="7" t="s">
        <v>228</v>
      </c>
    </row>
    <row r="5" spans="1:16" ht="28.5">
      <c r="A5" s="7" t="s">
        <v>229</v>
      </c>
      <c r="B5" s="7" t="s">
        <v>229</v>
      </c>
      <c r="C5" s="7" t="s">
        <v>230</v>
      </c>
      <c r="D5" s="9">
        <v>18650</v>
      </c>
      <c r="E5" s="7" t="s">
        <v>231</v>
      </c>
      <c r="F5" s="7" t="s">
        <v>208</v>
      </c>
      <c r="G5" s="7" t="s">
        <v>232</v>
      </c>
      <c r="H5" s="7" t="s">
        <v>233</v>
      </c>
      <c r="I5" s="9">
        <v>3000</v>
      </c>
      <c r="J5" s="5" t="s">
        <v>234</v>
      </c>
      <c r="K5" s="7" t="s">
        <v>235</v>
      </c>
      <c r="P5" s="7" t="s">
        <v>236</v>
      </c>
    </row>
  </sheetData>
  <mergeCells count="1">
    <mergeCell ref="A2:A3"/>
  </mergeCells>
  <pageMargins left="0.75" right="0.75" top="1" bottom="1" header="0.5" footer="0.5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B2A9B-BFD7-49D9-8B37-BCF45DB36F83}">
  <dimension ref="A1:W5"/>
  <sheetViews>
    <sheetView workbookViewId="0">
      <selection activeCell="C11" sqref="C11"/>
    </sheetView>
  </sheetViews>
  <sheetFormatPr defaultColWidth="10.7109375" defaultRowHeight="14.25"/>
  <cols>
    <col min="1" max="1" width="10.7109375" style="10"/>
    <col min="2" max="2" width="19.140625" style="10" bestFit="1" customWidth="1"/>
    <col min="3" max="3" width="13.5703125" style="10" bestFit="1" customWidth="1"/>
    <col min="4" max="4" width="17.28515625" style="10" customWidth="1"/>
    <col min="5" max="5" width="7.140625" style="10" bestFit="1" customWidth="1"/>
    <col min="6" max="6" width="9.42578125" style="10" bestFit="1" customWidth="1"/>
    <col min="7" max="7" width="16.7109375" style="10" bestFit="1" customWidth="1"/>
    <col min="8" max="8" width="6.5703125" style="10" bestFit="1" customWidth="1"/>
    <col min="9" max="9" width="11.7109375" style="10" bestFit="1" customWidth="1"/>
    <col min="10" max="10" width="13.5703125" style="10" customWidth="1"/>
    <col min="11" max="12" width="9.42578125" style="10" bestFit="1" customWidth="1"/>
    <col min="13" max="13" width="10.42578125" style="10" bestFit="1" customWidth="1"/>
    <col min="14" max="14" width="10.7109375" style="10" customWidth="1"/>
    <col min="15" max="15" width="9.5703125" style="10" customWidth="1"/>
    <col min="16" max="16" width="9.42578125" style="10" bestFit="1" customWidth="1"/>
    <col min="17" max="17" width="18.42578125" style="10" customWidth="1"/>
    <col min="18" max="18" width="5.140625" style="10" bestFit="1" customWidth="1"/>
    <col min="19" max="19" width="4" style="10" customWidth="1"/>
    <col min="20" max="20" width="4.7109375" style="10" customWidth="1"/>
    <col min="21" max="21" width="7.42578125" style="10" bestFit="1" customWidth="1"/>
    <col min="22" max="22" width="27" style="10" customWidth="1"/>
    <col min="23" max="23" width="30" style="10" customWidth="1"/>
    <col min="24" max="16384" width="10.7109375" style="10"/>
  </cols>
  <sheetData>
    <row r="1" spans="1:23" ht="28.5">
      <c r="A1" s="6" t="s">
        <v>0</v>
      </c>
      <c r="B1" s="6" t="s">
        <v>1</v>
      </c>
      <c r="C1" s="6" t="s">
        <v>237</v>
      </c>
      <c r="D1" s="6" t="s">
        <v>238</v>
      </c>
      <c r="E1" s="6" t="s">
        <v>239</v>
      </c>
      <c r="F1" s="6" t="s">
        <v>240</v>
      </c>
      <c r="G1" s="6" t="s">
        <v>241</v>
      </c>
      <c r="H1" s="6" t="s">
        <v>242</v>
      </c>
      <c r="I1" s="6" t="s">
        <v>243</v>
      </c>
      <c r="J1" s="6" t="s">
        <v>244</v>
      </c>
      <c r="K1" s="6" t="s">
        <v>245</v>
      </c>
      <c r="L1" s="6" t="s">
        <v>246</v>
      </c>
      <c r="M1" s="6" t="s">
        <v>247</v>
      </c>
      <c r="N1" s="6" t="s">
        <v>248</v>
      </c>
      <c r="O1" s="6" t="s">
        <v>249</v>
      </c>
      <c r="P1" s="6" t="s">
        <v>250</v>
      </c>
      <c r="Q1" s="6" t="s">
        <v>251</v>
      </c>
      <c r="R1" s="6" t="s">
        <v>252</v>
      </c>
      <c r="S1" s="6" t="s">
        <v>113</v>
      </c>
      <c r="T1" s="6" t="s">
        <v>22</v>
      </c>
      <c r="U1" s="6" t="s">
        <v>253</v>
      </c>
      <c r="V1" s="6" t="s">
        <v>254</v>
      </c>
      <c r="W1" s="6" t="s">
        <v>12</v>
      </c>
    </row>
    <row r="2" spans="1:23">
      <c r="A2" s="7" t="s">
        <v>13</v>
      </c>
      <c r="B2" s="10" t="s">
        <v>255</v>
      </c>
      <c r="C2" s="10" t="s">
        <v>256</v>
      </c>
      <c r="D2" s="10" t="s">
        <v>257</v>
      </c>
      <c r="E2" s="10" t="s">
        <v>258</v>
      </c>
      <c r="F2" s="10" t="s">
        <v>259</v>
      </c>
      <c r="G2" s="10" t="s">
        <v>260</v>
      </c>
      <c r="H2" s="10" t="s">
        <v>261</v>
      </c>
      <c r="I2" s="10" t="s">
        <v>261</v>
      </c>
      <c r="L2" s="10" t="s">
        <v>262</v>
      </c>
      <c r="M2" s="10" t="s">
        <v>263</v>
      </c>
      <c r="Q2" s="10" t="s">
        <v>264</v>
      </c>
      <c r="R2" s="10" t="s">
        <v>265</v>
      </c>
      <c r="S2" s="10" t="s">
        <v>266</v>
      </c>
      <c r="T2" s="10" t="s">
        <v>258</v>
      </c>
      <c r="U2" s="10">
        <v>45</v>
      </c>
      <c r="V2" s="10" t="s">
        <v>267</v>
      </c>
      <c r="W2" s="10" t="s">
        <v>268</v>
      </c>
    </row>
    <row r="3" spans="1:23">
      <c r="A3" s="7" t="s">
        <v>118</v>
      </c>
      <c r="B3" s="10" t="s">
        <v>269</v>
      </c>
      <c r="C3" s="10" t="s">
        <v>270</v>
      </c>
      <c r="D3" s="10" t="s">
        <v>271</v>
      </c>
      <c r="E3" s="10" t="s">
        <v>258</v>
      </c>
      <c r="F3" s="10" t="s">
        <v>259</v>
      </c>
      <c r="G3" s="10" t="s">
        <v>272</v>
      </c>
      <c r="H3" s="10" t="s">
        <v>38</v>
      </c>
      <c r="I3" s="10" t="s">
        <v>273</v>
      </c>
      <c r="L3" s="10" t="s">
        <v>274</v>
      </c>
      <c r="M3" s="10" t="s">
        <v>275</v>
      </c>
      <c r="R3" s="10" t="s">
        <v>265</v>
      </c>
      <c r="S3" s="10" t="s">
        <v>266</v>
      </c>
      <c r="T3" s="10" t="s">
        <v>258</v>
      </c>
      <c r="U3" s="10">
        <v>34</v>
      </c>
      <c r="V3" s="10" t="s">
        <v>267</v>
      </c>
      <c r="W3" s="10" t="s">
        <v>276</v>
      </c>
    </row>
    <row r="4" spans="1:23">
      <c r="A4" s="7" t="s">
        <v>218</v>
      </c>
      <c r="B4" s="10" t="s">
        <v>277</v>
      </c>
      <c r="C4" s="10" t="s">
        <v>278</v>
      </c>
      <c r="D4" s="10" t="s">
        <v>279</v>
      </c>
      <c r="E4" s="10" t="s">
        <v>266</v>
      </c>
      <c r="F4" s="10" t="s">
        <v>280</v>
      </c>
      <c r="G4" s="10" t="s">
        <v>281</v>
      </c>
      <c r="I4" s="10" t="s">
        <v>282</v>
      </c>
      <c r="J4" s="10" t="s">
        <v>283</v>
      </c>
      <c r="K4" s="10" t="s">
        <v>284</v>
      </c>
      <c r="L4" s="10" t="s">
        <v>285</v>
      </c>
      <c r="M4" s="10" t="s">
        <v>286</v>
      </c>
      <c r="N4" s="10" t="s">
        <v>287</v>
      </c>
      <c r="O4" s="10" t="s">
        <v>287</v>
      </c>
      <c r="P4" s="10" t="s">
        <v>288</v>
      </c>
      <c r="Q4" s="10" t="s">
        <v>289</v>
      </c>
      <c r="R4" s="10" t="s">
        <v>290</v>
      </c>
      <c r="S4" s="10" t="s">
        <v>290</v>
      </c>
      <c r="T4" s="10" t="s">
        <v>290</v>
      </c>
      <c r="U4" s="10">
        <v>40</v>
      </c>
      <c r="V4" s="10" t="s">
        <v>291</v>
      </c>
      <c r="W4" s="10" t="s">
        <v>292</v>
      </c>
    </row>
    <row r="5" spans="1:23">
      <c r="A5" s="7"/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8EC5C-0030-4A7B-90C1-72F9D44D3F40}">
  <dimension ref="A1:M2"/>
  <sheetViews>
    <sheetView workbookViewId="0"/>
  </sheetViews>
  <sheetFormatPr defaultColWidth="10.7109375" defaultRowHeight="14.25"/>
  <cols>
    <col min="1" max="1" width="10.7109375" style="2"/>
    <col min="2" max="2" width="25.140625" style="2" bestFit="1" customWidth="1"/>
    <col min="3" max="3" width="13.5703125" style="2" customWidth="1"/>
    <col min="4" max="4" width="9.5703125" style="2" bestFit="1" customWidth="1"/>
    <col min="5" max="5" width="8.7109375" style="2" bestFit="1" customWidth="1"/>
    <col min="6" max="6" width="11.42578125" style="2" customWidth="1"/>
    <col min="7" max="7" width="9" style="2" bestFit="1" customWidth="1"/>
    <col min="8" max="8" width="4.140625" style="2" bestFit="1" customWidth="1"/>
    <col min="9" max="9" width="11" style="2" customWidth="1"/>
    <col min="10" max="10" width="22.28515625" style="2" customWidth="1"/>
    <col min="11" max="11" width="12" style="2" customWidth="1"/>
    <col min="12" max="12" width="8.42578125" style="2" bestFit="1" customWidth="1"/>
    <col min="13" max="13" width="24.140625" style="2" customWidth="1"/>
    <col min="14" max="16384" width="10.7109375" style="2"/>
  </cols>
  <sheetData>
    <row r="1" spans="1:13" ht="28.5">
      <c r="A1" s="6" t="s">
        <v>0</v>
      </c>
      <c r="B1" s="6" t="s">
        <v>293</v>
      </c>
      <c r="C1" s="6" t="s">
        <v>294</v>
      </c>
      <c r="D1" s="6" t="s">
        <v>295</v>
      </c>
      <c r="E1" s="6" t="s">
        <v>9</v>
      </c>
      <c r="F1" s="6" t="s">
        <v>296</v>
      </c>
      <c r="G1" s="6" t="s">
        <v>297</v>
      </c>
      <c r="H1" s="6" t="s">
        <v>298</v>
      </c>
      <c r="I1" s="6" t="s">
        <v>299</v>
      </c>
      <c r="J1" s="6" t="s">
        <v>300</v>
      </c>
      <c r="K1" s="6" t="s">
        <v>246</v>
      </c>
      <c r="L1" s="6" t="s">
        <v>247</v>
      </c>
      <c r="M1" s="6" t="s">
        <v>12</v>
      </c>
    </row>
    <row r="2" spans="1:13" ht="28.5">
      <c r="A2" s="2" t="s">
        <v>218</v>
      </c>
      <c r="B2" s="2" t="s">
        <v>301</v>
      </c>
      <c r="C2" s="2" t="s">
        <v>302</v>
      </c>
      <c r="D2" s="2" t="s">
        <v>303</v>
      </c>
      <c r="E2" s="2" t="s">
        <v>304</v>
      </c>
      <c r="F2" s="2" t="s">
        <v>258</v>
      </c>
      <c r="G2" s="2" t="s">
        <v>290</v>
      </c>
      <c r="H2" s="2" t="s">
        <v>290</v>
      </c>
      <c r="I2" s="2" t="s">
        <v>305</v>
      </c>
      <c r="J2" s="2" t="s">
        <v>306</v>
      </c>
      <c r="K2" s="2" t="s">
        <v>307</v>
      </c>
      <c r="L2" s="2" t="s">
        <v>308</v>
      </c>
      <c r="M2" s="2" t="s">
        <v>309</v>
      </c>
    </row>
  </sheetData>
  <pageMargins left="0.7" right="0.7" top="0.75" bottom="0.75" header="0.3" footer="0.3"/>
  <pageSetup orientation="portrait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68647-879B-4823-B8E9-6E946C65D7BA}">
  <dimension ref="A1:F41"/>
  <sheetViews>
    <sheetView workbookViewId="0">
      <selection activeCell="F2" sqref="F2"/>
    </sheetView>
  </sheetViews>
  <sheetFormatPr defaultColWidth="23.85546875" defaultRowHeight="14.25"/>
  <cols>
    <col min="1" max="1" width="10.42578125" customWidth="1"/>
  </cols>
  <sheetData>
    <row r="1" spans="1:6" ht="37.15" customHeight="1">
      <c r="A1" s="6" t="s">
        <v>310</v>
      </c>
      <c r="B1" s="6" t="s">
        <v>311</v>
      </c>
      <c r="C1" s="6" t="s">
        <v>312</v>
      </c>
      <c r="D1" s="6" t="s">
        <v>313</v>
      </c>
      <c r="E1" s="6" t="s">
        <v>314</v>
      </c>
      <c r="F1" s="6" t="s">
        <v>315</v>
      </c>
    </row>
    <row r="2" spans="1:6" ht="33">
      <c r="A2" s="11" t="s">
        <v>316</v>
      </c>
      <c r="B2" s="11" t="s">
        <v>317</v>
      </c>
      <c r="C2" s="11" t="s">
        <v>318</v>
      </c>
      <c r="D2" s="11" t="s">
        <v>319</v>
      </c>
      <c r="E2" s="11" t="s">
        <v>320</v>
      </c>
      <c r="F2" s="11" t="s">
        <v>321</v>
      </c>
    </row>
    <row r="3" spans="1:6" ht="33">
      <c r="A3" s="11" t="s">
        <v>316</v>
      </c>
      <c r="B3" s="11" t="s">
        <v>322</v>
      </c>
      <c r="C3" s="11" t="s">
        <v>323</v>
      </c>
      <c r="D3" s="11" t="s">
        <v>324</v>
      </c>
      <c r="E3" s="11" t="s">
        <v>325</v>
      </c>
      <c r="F3" s="11" t="s">
        <v>326</v>
      </c>
    </row>
    <row r="4" spans="1:6" ht="33">
      <c r="A4" s="11" t="s">
        <v>316</v>
      </c>
      <c r="B4" s="11" t="s">
        <v>327</v>
      </c>
      <c r="C4" s="11" t="s">
        <v>328</v>
      </c>
      <c r="D4" s="11" t="s">
        <v>329</v>
      </c>
      <c r="E4" s="11" t="s">
        <v>330</v>
      </c>
      <c r="F4" s="11" t="s">
        <v>331</v>
      </c>
    </row>
    <row r="5" spans="1:6" ht="16.5">
      <c r="A5" s="11" t="s">
        <v>316</v>
      </c>
      <c r="B5" s="11" t="s">
        <v>332</v>
      </c>
      <c r="C5" s="11" t="s">
        <v>333</v>
      </c>
      <c r="D5" s="11" t="s">
        <v>334</v>
      </c>
      <c r="E5" s="11" t="s">
        <v>335</v>
      </c>
      <c r="F5" s="11" t="s">
        <v>336</v>
      </c>
    </row>
    <row r="6" spans="1:6" ht="16.5">
      <c r="A6" s="11" t="s">
        <v>316</v>
      </c>
      <c r="B6" s="11" t="s">
        <v>337</v>
      </c>
      <c r="C6" s="11" t="s">
        <v>338</v>
      </c>
      <c r="D6" s="11" t="s">
        <v>339</v>
      </c>
      <c r="E6" s="11" t="s">
        <v>340</v>
      </c>
      <c r="F6" s="11" t="s">
        <v>341</v>
      </c>
    </row>
    <row r="7" spans="1:6" ht="16.5">
      <c r="A7" s="11" t="s">
        <v>316</v>
      </c>
      <c r="B7" s="11" t="s">
        <v>342</v>
      </c>
      <c r="C7" s="11" t="s">
        <v>343</v>
      </c>
      <c r="D7" s="11" t="s">
        <v>344</v>
      </c>
      <c r="E7" s="11" t="s">
        <v>345</v>
      </c>
      <c r="F7" s="11" t="s">
        <v>346</v>
      </c>
    </row>
    <row r="8" spans="1:6" ht="16.5">
      <c r="A8" s="11" t="s">
        <v>316</v>
      </c>
      <c r="B8" s="11" t="s">
        <v>347</v>
      </c>
      <c r="C8" s="11" t="s">
        <v>348</v>
      </c>
      <c r="D8" s="11" t="s">
        <v>349</v>
      </c>
      <c r="E8" s="11" t="s">
        <v>320</v>
      </c>
      <c r="F8" s="11" t="s">
        <v>350</v>
      </c>
    </row>
    <row r="9" spans="1:6" ht="16.5">
      <c r="A9" s="11" t="s">
        <v>316</v>
      </c>
      <c r="B9" s="11" t="s">
        <v>351</v>
      </c>
      <c r="C9" s="11" t="s">
        <v>352</v>
      </c>
      <c r="D9" s="11" t="s">
        <v>353</v>
      </c>
      <c r="E9" s="11" t="s">
        <v>354</v>
      </c>
      <c r="F9" s="11" t="s">
        <v>355</v>
      </c>
    </row>
    <row r="10" spans="1:6" ht="33">
      <c r="A10" s="11" t="s">
        <v>316</v>
      </c>
      <c r="B10" s="11" t="s">
        <v>356</v>
      </c>
      <c r="C10" s="11" t="s">
        <v>357</v>
      </c>
      <c r="D10" s="11" t="s">
        <v>358</v>
      </c>
      <c r="E10" s="11" t="s">
        <v>359</v>
      </c>
      <c r="F10" s="11" t="s">
        <v>360</v>
      </c>
    </row>
    <row r="11" spans="1:6" ht="16.5">
      <c r="A11" s="11" t="s">
        <v>316</v>
      </c>
      <c r="B11" s="11" t="s">
        <v>361</v>
      </c>
      <c r="C11" s="11" t="s">
        <v>362</v>
      </c>
      <c r="D11" s="11" t="s">
        <v>363</v>
      </c>
      <c r="E11" s="11" t="s">
        <v>364</v>
      </c>
      <c r="F11" s="11" t="s">
        <v>365</v>
      </c>
    </row>
    <row r="12" spans="1:6" ht="33">
      <c r="A12" s="11" t="s">
        <v>316</v>
      </c>
      <c r="B12" s="11" t="s">
        <v>366</v>
      </c>
      <c r="C12" s="11" t="s">
        <v>367</v>
      </c>
      <c r="D12" s="11" t="s">
        <v>368</v>
      </c>
      <c r="E12" s="11" t="s">
        <v>369</v>
      </c>
      <c r="F12" s="11" t="s">
        <v>370</v>
      </c>
    </row>
    <row r="13" spans="1:6" ht="16.5">
      <c r="A13" s="11" t="s">
        <v>316</v>
      </c>
      <c r="B13" s="11" t="s">
        <v>371</v>
      </c>
      <c r="C13" s="11" t="s">
        <v>372</v>
      </c>
      <c r="D13" s="11" t="s">
        <v>373</v>
      </c>
      <c r="E13" s="11" t="s">
        <v>374</v>
      </c>
      <c r="F13" s="11" t="s">
        <v>375</v>
      </c>
    </row>
    <row r="14" spans="1:6" ht="16.5">
      <c r="A14" s="11" t="s">
        <v>316</v>
      </c>
      <c r="B14" s="11" t="s">
        <v>376</v>
      </c>
      <c r="C14" s="11" t="s">
        <v>377</v>
      </c>
      <c r="D14" s="11" t="s">
        <v>378</v>
      </c>
      <c r="E14" s="11" t="s">
        <v>379</v>
      </c>
      <c r="F14" s="11" t="s">
        <v>380</v>
      </c>
    </row>
    <row r="15" spans="1:6" ht="16.5">
      <c r="A15" s="11" t="s">
        <v>381</v>
      </c>
      <c r="B15" s="11" t="s">
        <v>382</v>
      </c>
      <c r="C15" s="11" t="s">
        <v>383</v>
      </c>
      <c r="D15" s="11" t="s">
        <v>384</v>
      </c>
      <c r="E15" s="11" t="s">
        <v>385</v>
      </c>
      <c r="F15" s="11" t="s">
        <v>386</v>
      </c>
    </row>
    <row r="16" spans="1:6" ht="16.5">
      <c r="A16" s="11" t="s">
        <v>381</v>
      </c>
      <c r="B16" s="11" t="s">
        <v>387</v>
      </c>
      <c r="C16" s="11" t="s">
        <v>339</v>
      </c>
      <c r="D16" s="11" t="s">
        <v>388</v>
      </c>
      <c r="E16" s="11" t="s">
        <v>325</v>
      </c>
      <c r="F16" s="11" t="s">
        <v>389</v>
      </c>
    </row>
    <row r="17" spans="1:6" ht="16.5">
      <c r="A17" s="11" t="s">
        <v>381</v>
      </c>
      <c r="B17" s="11" t="s">
        <v>390</v>
      </c>
      <c r="C17" s="11" t="s">
        <v>391</v>
      </c>
      <c r="D17" s="11" t="s">
        <v>392</v>
      </c>
      <c r="E17" s="11" t="s">
        <v>393</v>
      </c>
      <c r="F17" s="11" t="s">
        <v>394</v>
      </c>
    </row>
    <row r="18" spans="1:6" ht="16.5">
      <c r="A18" s="11" t="s">
        <v>381</v>
      </c>
      <c r="B18" s="11" t="s">
        <v>395</v>
      </c>
      <c r="C18" s="11" t="s">
        <v>396</v>
      </c>
      <c r="D18" s="11" t="s">
        <v>397</v>
      </c>
      <c r="E18" s="11" t="s">
        <v>325</v>
      </c>
      <c r="F18" s="11" t="s">
        <v>398</v>
      </c>
    </row>
    <row r="19" spans="1:6" ht="16.5">
      <c r="A19" s="11" t="s">
        <v>381</v>
      </c>
      <c r="B19" s="11" t="s">
        <v>399</v>
      </c>
      <c r="C19" s="11" t="s">
        <v>400</v>
      </c>
      <c r="D19" s="11" t="s">
        <v>401</v>
      </c>
      <c r="E19" s="11" t="s">
        <v>402</v>
      </c>
      <c r="F19" s="11" t="s">
        <v>392</v>
      </c>
    </row>
    <row r="20" spans="1:6" ht="16.5">
      <c r="A20" s="11" t="s">
        <v>403</v>
      </c>
      <c r="B20" s="11" t="s">
        <v>404</v>
      </c>
      <c r="C20" s="11" t="s">
        <v>405</v>
      </c>
      <c r="D20" s="11" t="s">
        <v>406</v>
      </c>
      <c r="E20" s="11" t="s">
        <v>407</v>
      </c>
      <c r="F20" s="11" t="s">
        <v>408</v>
      </c>
    </row>
    <row r="21" spans="1:6" ht="16.5">
      <c r="A21" s="11" t="s">
        <v>403</v>
      </c>
      <c r="B21" s="11" t="s">
        <v>409</v>
      </c>
      <c r="C21" s="11" t="s">
        <v>410</v>
      </c>
      <c r="D21" s="11" t="s">
        <v>411</v>
      </c>
      <c r="E21" s="11" t="s">
        <v>412</v>
      </c>
      <c r="F21" s="11" t="s">
        <v>413</v>
      </c>
    </row>
    <row r="22" spans="1:6" ht="16.5">
      <c r="A22" s="11" t="s">
        <v>403</v>
      </c>
      <c r="B22" s="11" t="s">
        <v>414</v>
      </c>
      <c r="C22" s="11" t="s">
        <v>415</v>
      </c>
      <c r="D22" s="11" t="s">
        <v>378</v>
      </c>
      <c r="E22" s="11" t="s">
        <v>416</v>
      </c>
      <c r="F22" s="11" t="s">
        <v>417</v>
      </c>
    </row>
    <row r="23" spans="1:6" ht="16.5">
      <c r="A23" s="11" t="s">
        <v>403</v>
      </c>
      <c r="B23" s="11" t="s">
        <v>11</v>
      </c>
      <c r="C23" s="11" t="s">
        <v>418</v>
      </c>
      <c r="D23" s="11" t="s">
        <v>419</v>
      </c>
      <c r="E23" s="11" t="s">
        <v>420</v>
      </c>
      <c r="F23" s="11" t="s">
        <v>421</v>
      </c>
    </row>
    <row r="24" spans="1:6" ht="16.5">
      <c r="A24" s="11" t="s">
        <v>403</v>
      </c>
      <c r="B24" s="11" t="s">
        <v>422</v>
      </c>
      <c r="C24" s="11" t="s">
        <v>423</v>
      </c>
      <c r="D24" s="11" t="s">
        <v>424</v>
      </c>
      <c r="E24" s="11" t="s">
        <v>425</v>
      </c>
      <c r="F24" s="11" t="s">
        <v>426</v>
      </c>
    </row>
    <row r="25" spans="1:6" ht="33">
      <c r="A25" s="11" t="s">
        <v>403</v>
      </c>
      <c r="B25" s="11" t="s">
        <v>427</v>
      </c>
      <c r="C25" s="11" t="s">
        <v>428</v>
      </c>
      <c r="D25" s="11" t="s">
        <v>429</v>
      </c>
      <c r="E25" s="11" t="s">
        <v>430</v>
      </c>
      <c r="F25" s="11" t="s">
        <v>431</v>
      </c>
    </row>
    <row r="26" spans="1:6" ht="16.5">
      <c r="A26" s="11" t="s">
        <v>403</v>
      </c>
      <c r="B26" s="11" t="s">
        <v>432</v>
      </c>
      <c r="C26" s="11" t="s">
        <v>433</v>
      </c>
      <c r="D26" s="11" t="s">
        <v>434</v>
      </c>
      <c r="E26" s="11" t="s">
        <v>435</v>
      </c>
      <c r="F26" s="11" t="s">
        <v>436</v>
      </c>
    </row>
    <row r="27" spans="1:6" ht="16.5">
      <c r="A27" s="11" t="s">
        <v>437</v>
      </c>
      <c r="B27" s="11" t="s">
        <v>438</v>
      </c>
      <c r="C27" s="11" t="s">
        <v>439</v>
      </c>
      <c r="D27" s="11" t="s">
        <v>440</v>
      </c>
      <c r="E27" s="11" t="s">
        <v>325</v>
      </c>
      <c r="F27" s="11" t="s">
        <v>441</v>
      </c>
    </row>
    <row r="28" spans="1:6" ht="16.5">
      <c r="A28" s="11" t="s">
        <v>437</v>
      </c>
      <c r="B28" s="11" t="s">
        <v>442</v>
      </c>
      <c r="C28" s="11" t="s">
        <v>443</v>
      </c>
      <c r="D28" s="11" t="s">
        <v>444</v>
      </c>
      <c r="E28" s="11" t="s">
        <v>445</v>
      </c>
      <c r="F28" s="11" t="s">
        <v>446</v>
      </c>
    </row>
    <row r="29" spans="1:6" ht="16.5">
      <c r="A29" s="11" t="s">
        <v>437</v>
      </c>
      <c r="B29" s="11" t="s">
        <v>447</v>
      </c>
      <c r="C29" s="11" t="s">
        <v>448</v>
      </c>
      <c r="D29" s="11" t="s">
        <v>449</v>
      </c>
      <c r="E29" s="11" t="s">
        <v>450</v>
      </c>
      <c r="F29" s="11" t="s">
        <v>451</v>
      </c>
    </row>
    <row r="30" spans="1:6" ht="16.5">
      <c r="A30" s="11" t="s">
        <v>437</v>
      </c>
      <c r="B30" s="11" t="s">
        <v>452</v>
      </c>
      <c r="C30" s="11" t="s">
        <v>453</v>
      </c>
      <c r="D30" s="11" t="s">
        <v>374</v>
      </c>
      <c r="E30" s="11" t="s">
        <v>454</v>
      </c>
      <c r="F30" s="11" t="s">
        <v>455</v>
      </c>
    </row>
    <row r="31" spans="1:6" ht="33">
      <c r="A31" s="11" t="s">
        <v>437</v>
      </c>
      <c r="B31" s="11" t="s">
        <v>456</v>
      </c>
      <c r="C31" s="11" t="s">
        <v>457</v>
      </c>
      <c r="D31" s="11" t="s">
        <v>458</v>
      </c>
      <c r="E31" s="11" t="s">
        <v>459</v>
      </c>
      <c r="F31" s="11" t="s">
        <v>460</v>
      </c>
    </row>
    <row r="32" spans="1:6" ht="16.5">
      <c r="A32" s="11" t="s">
        <v>437</v>
      </c>
      <c r="B32" s="11" t="s">
        <v>461</v>
      </c>
      <c r="C32" s="11" t="s">
        <v>462</v>
      </c>
      <c r="D32" s="11" t="s">
        <v>463</v>
      </c>
      <c r="E32" s="11" t="s">
        <v>369</v>
      </c>
      <c r="F32" s="11" t="s">
        <v>464</v>
      </c>
    </row>
    <row r="33" spans="1:6" ht="16.5">
      <c r="A33" s="11" t="s">
        <v>437</v>
      </c>
      <c r="B33" s="11" t="s">
        <v>465</v>
      </c>
      <c r="C33" s="11" t="s">
        <v>466</v>
      </c>
      <c r="D33" s="11" t="s">
        <v>467</v>
      </c>
      <c r="E33" s="11" t="s">
        <v>468</v>
      </c>
      <c r="F33" s="11" t="s">
        <v>469</v>
      </c>
    </row>
    <row r="34" spans="1:6" ht="16.5">
      <c r="A34" s="11" t="s">
        <v>437</v>
      </c>
      <c r="B34" s="11" t="s">
        <v>470</v>
      </c>
      <c r="C34" s="11" t="s">
        <v>471</v>
      </c>
      <c r="D34" s="11" t="s">
        <v>472</v>
      </c>
      <c r="E34" s="11" t="s">
        <v>325</v>
      </c>
      <c r="F34" s="11" t="s">
        <v>473</v>
      </c>
    </row>
    <row r="35" spans="1:6" ht="16.5">
      <c r="A35" s="11" t="s">
        <v>437</v>
      </c>
      <c r="B35" s="11" t="s">
        <v>474</v>
      </c>
      <c r="C35" s="11" t="s">
        <v>475</v>
      </c>
      <c r="D35" s="11" t="s">
        <v>476</v>
      </c>
      <c r="E35" s="11" t="s">
        <v>445</v>
      </c>
      <c r="F35" s="11" t="s">
        <v>477</v>
      </c>
    </row>
    <row r="36" spans="1:6" ht="16.5">
      <c r="A36" s="11" t="s">
        <v>478</v>
      </c>
      <c r="B36" s="11" t="s">
        <v>479</v>
      </c>
      <c r="C36" s="11" t="s">
        <v>480</v>
      </c>
      <c r="D36" s="11" t="s">
        <v>481</v>
      </c>
      <c r="E36" s="11" t="s">
        <v>482</v>
      </c>
      <c r="F36" s="11" t="s">
        <v>483</v>
      </c>
    </row>
    <row r="37" spans="1:6" ht="16.5">
      <c r="A37" s="11" t="s">
        <v>478</v>
      </c>
      <c r="B37" s="11" t="s">
        <v>484</v>
      </c>
      <c r="C37" s="11" t="s">
        <v>485</v>
      </c>
      <c r="D37" s="11" t="s">
        <v>486</v>
      </c>
      <c r="E37" s="11" t="s">
        <v>487</v>
      </c>
      <c r="F37" s="11" t="s">
        <v>488</v>
      </c>
    </row>
    <row r="38" spans="1:6" ht="16.5">
      <c r="A38" s="11" t="s">
        <v>478</v>
      </c>
      <c r="B38" s="11" t="s">
        <v>489</v>
      </c>
      <c r="C38" s="11" t="s">
        <v>490</v>
      </c>
      <c r="D38" s="11" t="s">
        <v>424</v>
      </c>
      <c r="E38" s="11" t="s">
        <v>491</v>
      </c>
      <c r="F38" s="11" t="s">
        <v>425</v>
      </c>
    </row>
    <row r="39" spans="1:6" ht="16.5">
      <c r="A39" s="11" t="s">
        <v>478</v>
      </c>
      <c r="B39" s="11" t="s">
        <v>492</v>
      </c>
      <c r="C39" s="11" t="s">
        <v>493</v>
      </c>
      <c r="D39" s="11" t="s">
        <v>378</v>
      </c>
      <c r="E39" s="11" t="s">
        <v>416</v>
      </c>
      <c r="F39" s="11" t="s">
        <v>417</v>
      </c>
    </row>
    <row r="40" spans="1:6" ht="16.5">
      <c r="A40" s="11" t="s">
        <v>478</v>
      </c>
      <c r="B40" s="11" t="s">
        <v>494</v>
      </c>
      <c r="C40" s="11" t="s">
        <v>495</v>
      </c>
      <c r="D40" s="11" t="s">
        <v>424</v>
      </c>
      <c r="E40" s="11" t="s">
        <v>496</v>
      </c>
      <c r="F40" s="11" t="s">
        <v>487</v>
      </c>
    </row>
    <row r="41" spans="1:6" ht="16.5">
      <c r="A41" s="11" t="s">
        <v>478</v>
      </c>
      <c r="B41" s="11" t="s">
        <v>497</v>
      </c>
      <c r="C41" s="11" t="s">
        <v>498</v>
      </c>
      <c r="D41" s="11" t="s">
        <v>499</v>
      </c>
      <c r="E41" s="11" t="s">
        <v>500</v>
      </c>
      <c r="F41" s="11" t="s">
        <v>501</v>
      </c>
    </row>
  </sheetData>
  <pageMargins left="0.7" right="0.7" top="0.75" bottom="0.75" header="0.3" footer="0.3"/>
  <pageSetup orientation="portrait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07243-F270-49B5-BC30-0D44085BD54F}">
  <dimension ref="A1:F15"/>
  <sheetViews>
    <sheetView workbookViewId="0">
      <selection sqref="A1:F1"/>
    </sheetView>
  </sheetViews>
  <sheetFormatPr defaultColWidth="11.42578125" defaultRowHeight="14.25"/>
  <cols>
    <col min="1" max="1" width="27.7109375" customWidth="1"/>
    <col min="2" max="2" width="18.42578125" customWidth="1"/>
    <col min="3" max="3" width="18.28515625" customWidth="1"/>
    <col min="4" max="4" width="13.7109375" customWidth="1"/>
    <col min="5" max="5" width="18.85546875" customWidth="1"/>
    <col min="6" max="6" width="9.5703125" bestFit="1" customWidth="1"/>
  </cols>
  <sheetData>
    <row r="1" spans="1:6" ht="27.4" customHeight="1">
      <c r="A1" s="6" t="s">
        <v>502</v>
      </c>
      <c r="B1" s="6" t="s">
        <v>503</v>
      </c>
      <c r="C1" s="6" t="s">
        <v>504</v>
      </c>
      <c r="D1" s="6" t="s">
        <v>505</v>
      </c>
      <c r="E1" s="6" t="s">
        <v>506</v>
      </c>
      <c r="F1" s="6" t="s">
        <v>507</v>
      </c>
    </row>
    <row r="2" spans="1:6" ht="16.5">
      <c r="A2" s="11" t="s">
        <v>508</v>
      </c>
      <c r="B2" s="11" t="s">
        <v>103</v>
      </c>
      <c r="C2" s="11" t="s">
        <v>509</v>
      </c>
      <c r="D2" s="11" t="s">
        <v>510</v>
      </c>
      <c r="E2" s="11" t="s">
        <v>511</v>
      </c>
      <c r="F2" s="11" t="s">
        <v>512</v>
      </c>
    </row>
    <row r="3" spans="1:6" ht="16.5">
      <c r="A3" s="11" t="s">
        <v>513</v>
      </c>
      <c r="B3" s="11" t="s">
        <v>103</v>
      </c>
      <c r="C3" s="11" t="s">
        <v>509</v>
      </c>
      <c r="D3" s="11" t="s">
        <v>510</v>
      </c>
      <c r="E3" s="11" t="s">
        <v>511</v>
      </c>
      <c r="F3" s="11" t="s">
        <v>512</v>
      </c>
    </row>
    <row r="4" spans="1:6" ht="16.5">
      <c r="A4" s="11" t="s">
        <v>514</v>
      </c>
      <c r="B4" s="11" t="s">
        <v>58</v>
      </c>
      <c r="C4" s="11" t="s">
        <v>515</v>
      </c>
      <c r="D4" s="11" t="s">
        <v>510</v>
      </c>
      <c r="E4" s="11" t="s">
        <v>516</v>
      </c>
      <c r="F4" s="11" t="s">
        <v>512</v>
      </c>
    </row>
    <row r="5" spans="1:6" ht="33">
      <c r="A5" s="11" t="s">
        <v>517</v>
      </c>
      <c r="B5" s="11" t="s">
        <v>518</v>
      </c>
      <c r="C5" s="11" t="s">
        <v>437</v>
      </c>
      <c r="D5" s="11" t="s">
        <v>510</v>
      </c>
      <c r="E5" s="11" t="s">
        <v>519</v>
      </c>
      <c r="F5" s="11" t="s">
        <v>512</v>
      </c>
    </row>
    <row r="6" spans="1:6" ht="33">
      <c r="A6" s="11" t="s">
        <v>520</v>
      </c>
      <c r="B6" s="11" t="s">
        <v>437</v>
      </c>
      <c r="C6" s="11" t="s">
        <v>509</v>
      </c>
      <c r="D6" s="11" t="s">
        <v>510</v>
      </c>
      <c r="E6" s="11" t="s">
        <v>521</v>
      </c>
      <c r="F6" s="11" t="s">
        <v>522</v>
      </c>
    </row>
    <row r="7" spans="1:6" ht="16.5">
      <c r="A7" s="11" t="s">
        <v>523</v>
      </c>
      <c r="B7" s="11" t="s">
        <v>78</v>
      </c>
      <c r="C7" s="11" t="s">
        <v>15</v>
      </c>
      <c r="D7" s="11" t="s">
        <v>524</v>
      </c>
      <c r="E7" s="11" t="s">
        <v>525</v>
      </c>
      <c r="F7" s="11" t="s">
        <v>512</v>
      </c>
    </row>
    <row r="8" spans="1:6" ht="16.5">
      <c r="A8" s="11" t="s">
        <v>526</v>
      </c>
      <c r="B8" s="11" t="s">
        <v>78</v>
      </c>
      <c r="C8" s="11" t="s">
        <v>15</v>
      </c>
      <c r="D8" s="11" t="s">
        <v>524</v>
      </c>
      <c r="E8" s="11" t="s">
        <v>525</v>
      </c>
      <c r="F8" s="11" t="s">
        <v>512</v>
      </c>
    </row>
    <row r="9" spans="1:6" ht="16.5">
      <c r="A9" s="11" t="s">
        <v>527</v>
      </c>
      <c r="B9" s="11" t="s">
        <v>70</v>
      </c>
      <c r="C9" s="11" t="s">
        <v>31</v>
      </c>
      <c r="D9" s="11" t="s">
        <v>524</v>
      </c>
      <c r="E9" s="11" t="s">
        <v>34</v>
      </c>
      <c r="F9" s="11" t="s">
        <v>522</v>
      </c>
    </row>
    <row r="10" spans="1:6" ht="16.5">
      <c r="A10" s="11" t="s">
        <v>528</v>
      </c>
      <c r="B10" s="11" t="s">
        <v>78</v>
      </c>
      <c r="C10" s="11" t="s">
        <v>15</v>
      </c>
      <c r="D10" s="11" t="s">
        <v>529</v>
      </c>
      <c r="E10" s="11" t="s">
        <v>80</v>
      </c>
      <c r="F10" s="11" t="s">
        <v>512</v>
      </c>
    </row>
    <row r="11" spans="1:6" ht="16.5">
      <c r="A11" s="11" t="s">
        <v>530</v>
      </c>
      <c r="B11" s="11" t="s">
        <v>78</v>
      </c>
      <c r="C11" s="11" t="s">
        <v>15</v>
      </c>
      <c r="D11" s="11" t="s">
        <v>529</v>
      </c>
      <c r="E11" s="11" t="s">
        <v>87</v>
      </c>
      <c r="F11" s="11" t="s">
        <v>522</v>
      </c>
    </row>
    <row r="12" spans="1:6" ht="33">
      <c r="A12" s="11" t="s">
        <v>431</v>
      </c>
      <c r="B12" s="11" t="s">
        <v>58</v>
      </c>
      <c r="C12" s="11" t="s">
        <v>78</v>
      </c>
      <c r="D12" s="11" t="s">
        <v>531</v>
      </c>
      <c r="E12" s="11" t="s">
        <v>532</v>
      </c>
      <c r="F12" s="11" t="s">
        <v>512</v>
      </c>
    </row>
    <row r="13" spans="1:6" ht="16.5">
      <c r="A13" s="11" t="s">
        <v>533</v>
      </c>
      <c r="B13" s="11" t="s">
        <v>437</v>
      </c>
      <c r="C13" s="11" t="s">
        <v>509</v>
      </c>
      <c r="D13" s="11" t="s">
        <v>534</v>
      </c>
      <c r="E13" s="11" t="s">
        <v>535</v>
      </c>
      <c r="F13" s="11" t="s">
        <v>512</v>
      </c>
    </row>
    <row r="14" spans="1:6" ht="16.5">
      <c r="A14" s="11" t="s">
        <v>536</v>
      </c>
      <c r="B14" s="11" t="s">
        <v>437</v>
      </c>
      <c r="C14" s="11" t="s">
        <v>509</v>
      </c>
      <c r="D14" s="11" t="s">
        <v>534</v>
      </c>
      <c r="E14" s="11" t="s">
        <v>34</v>
      </c>
      <c r="F14" s="11" t="s">
        <v>522</v>
      </c>
    </row>
    <row r="15" spans="1:6" ht="16.5">
      <c r="A15" s="11" t="s">
        <v>537</v>
      </c>
      <c r="B15" s="11" t="s">
        <v>510</v>
      </c>
      <c r="C15" s="11" t="s">
        <v>437</v>
      </c>
      <c r="D15" s="11" t="s">
        <v>538</v>
      </c>
      <c r="E15" s="11" t="s">
        <v>502</v>
      </c>
      <c r="F15" s="11" t="s">
        <v>512</v>
      </c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4E99B-659E-42FF-B500-425F8065D4C3}">
  <dimension ref="A1:E9"/>
  <sheetViews>
    <sheetView tabSelected="1" workbookViewId="0">
      <selection activeCell="C14" sqref="C14"/>
    </sheetView>
  </sheetViews>
  <sheetFormatPr defaultColWidth="11.42578125" defaultRowHeight="14.25"/>
  <cols>
    <col min="1" max="1" width="17.5703125" customWidth="1"/>
    <col min="2" max="2" width="21.42578125" customWidth="1"/>
    <col min="3" max="3" width="25.42578125" customWidth="1"/>
    <col min="4" max="4" width="26.28515625" customWidth="1"/>
    <col min="5" max="5" width="16.5703125" customWidth="1"/>
  </cols>
  <sheetData>
    <row r="1" spans="1:5" ht="38.65" customHeight="1">
      <c r="A1" s="6" t="s">
        <v>294</v>
      </c>
      <c r="B1" s="6" t="s">
        <v>539</v>
      </c>
      <c r="C1" s="6" t="s">
        <v>540</v>
      </c>
      <c r="D1" s="6" t="s">
        <v>541</v>
      </c>
      <c r="E1" s="6" t="s">
        <v>542</v>
      </c>
    </row>
    <row r="2" spans="1:5" ht="16.5">
      <c r="A2" s="11" t="s">
        <v>103</v>
      </c>
      <c r="B2" s="11" t="s">
        <v>543</v>
      </c>
      <c r="C2" s="11" t="s">
        <v>544</v>
      </c>
      <c r="D2" s="11" t="s">
        <v>545</v>
      </c>
      <c r="E2" s="11" t="s">
        <v>512</v>
      </c>
    </row>
    <row r="3" spans="1:5" ht="16.5">
      <c r="A3" s="11" t="s">
        <v>58</v>
      </c>
      <c r="B3" s="11" t="s">
        <v>546</v>
      </c>
      <c r="C3" s="11" t="s">
        <v>547</v>
      </c>
      <c r="D3" s="11" t="s">
        <v>548</v>
      </c>
      <c r="E3" s="11" t="s">
        <v>512</v>
      </c>
    </row>
    <row r="4" spans="1:5" ht="16.5">
      <c r="A4" s="11" t="s">
        <v>78</v>
      </c>
      <c r="B4" s="11" t="s">
        <v>549</v>
      </c>
      <c r="C4" s="11" t="s">
        <v>550</v>
      </c>
      <c r="D4" s="11" t="s">
        <v>551</v>
      </c>
      <c r="E4" s="11" t="s">
        <v>512</v>
      </c>
    </row>
    <row r="5" spans="1:5" ht="33">
      <c r="A5" s="11" t="s">
        <v>70</v>
      </c>
      <c r="B5" s="11" t="s">
        <v>552</v>
      </c>
      <c r="C5" s="11" t="s">
        <v>553</v>
      </c>
      <c r="D5" s="11" t="s">
        <v>554</v>
      </c>
      <c r="E5" s="11" t="s">
        <v>555</v>
      </c>
    </row>
    <row r="6" spans="1:5" ht="16.5">
      <c r="A6" s="11" t="s">
        <v>162</v>
      </c>
      <c r="B6" s="11" t="s">
        <v>487</v>
      </c>
      <c r="C6" s="11" t="s">
        <v>556</v>
      </c>
      <c r="D6" s="11" t="s">
        <v>557</v>
      </c>
      <c r="E6" s="11" t="s">
        <v>555</v>
      </c>
    </row>
    <row r="7" spans="1:5" ht="49.5">
      <c r="A7" s="11" t="s">
        <v>15</v>
      </c>
      <c r="B7" s="11" t="s">
        <v>558</v>
      </c>
      <c r="C7" s="11" t="s">
        <v>559</v>
      </c>
      <c r="D7" s="11" t="s">
        <v>560</v>
      </c>
      <c r="E7" s="11" t="s">
        <v>522</v>
      </c>
    </row>
    <row r="8" spans="1:5" ht="16.5">
      <c r="A8" s="11" t="s">
        <v>40</v>
      </c>
      <c r="B8" s="11" t="s">
        <v>561</v>
      </c>
      <c r="C8" s="11" t="s">
        <v>562</v>
      </c>
      <c r="D8" s="11" t="s">
        <v>563</v>
      </c>
      <c r="E8" s="11" t="s">
        <v>564</v>
      </c>
    </row>
    <row r="9" spans="1:5" ht="33">
      <c r="A9" s="11" t="s">
        <v>31</v>
      </c>
      <c r="B9" s="11" t="s">
        <v>565</v>
      </c>
      <c r="C9" s="11" t="s">
        <v>566</v>
      </c>
      <c r="D9" s="11" t="s">
        <v>563</v>
      </c>
      <c r="E9" s="11" t="s">
        <v>564</v>
      </c>
    </row>
  </sheetData>
  <pageMargins left="0.7" right="0.7" top="0.75" bottom="0.75" header="0.3" footer="0.3"/>
  <pageSetup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M365 Copilot</dc:creator>
  <cp:keywords/>
  <dc:description/>
  <cp:lastModifiedBy>Juan David Arboleda Jaramillo</cp:lastModifiedBy>
  <cp:revision/>
  <dcterms:created xsi:type="dcterms:W3CDTF">2026-10-05T02:34:36Z</dcterms:created>
  <dcterms:modified xsi:type="dcterms:W3CDTF">2026-10-10T07:45:30Z</dcterms:modified>
  <cp:category/>
  <cp:contentStatus/>
</cp:coreProperties>
</file>